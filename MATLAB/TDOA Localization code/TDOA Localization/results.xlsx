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Q\Desktop\TDOA Localization - Ciptian\"/>
    </mc:Choice>
  </mc:AlternateContent>
  <xr:revisionPtr revIDLastSave="0" documentId="13_ncr:1_{791FA984-06D4-41B5-9578-124B292498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4" i="1" l="1"/>
  <c r="R84" i="1"/>
  <c r="Q84" i="1"/>
  <c r="S79" i="1"/>
  <c r="R79" i="1"/>
  <c r="Q79" i="1"/>
  <c r="S75" i="1"/>
  <c r="R75" i="1"/>
  <c r="Q75" i="1"/>
  <c r="S72" i="1"/>
  <c r="R72" i="1"/>
  <c r="Q72" i="1"/>
  <c r="S69" i="1"/>
  <c r="R69" i="1"/>
  <c r="Q69" i="1"/>
  <c r="S64" i="1"/>
  <c r="R64" i="1"/>
  <c r="Q64" i="1"/>
  <c r="S62" i="1"/>
  <c r="R62" i="1"/>
  <c r="Q62" i="1"/>
  <c r="S58" i="1"/>
  <c r="R58" i="1"/>
  <c r="Q58" i="1"/>
  <c r="S51" i="1"/>
  <c r="R51" i="1"/>
  <c r="Q51" i="1"/>
  <c r="S46" i="1"/>
  <c r="R46" i="1"/>
  <c r="Q46" i="1"/>
  <c r="S43" i="1"/>
  <c r="R43" i="1"/>
  <c r="Q43" i="1"/>
  <c r="S40" i="1"/>
  <c r="R40" i="1"/>
  <c r="Q40" i="1"/>
  <c r="S35" i="1"/>
  <c r="R35" i="1"/>
  <c r="Q35" i="1"/>
  <c r="S32" i="1"/>
  <c r="R32" i="1"/>
  <c r="Q32" i="1"/>
  <c r="S28" i="1"/>
  <c r="R28" i="1"/>
  <c r="Q28" i="1"/>
  <c r="S22" i="1"/>
  <c r="R22" i="1"/>
  <c r="Q22" i="1"/>
  <c r="S18" i="1"/>
  <c r="R18" i="1"/>
  <c r="Q18" i="1"/>
  <c r="S15" i="1"/>
  <c r="R15" i="1"/>
  <c r="Q15" i="1"/>
  <c r="S12" i="1"/>
  <c r="R12" i="1"/>
  <c r="Q12" i="1"/>
  <c r="S8" i="1"/>
  <c r="R8" i="1"/>
  <c r="Q8" i="1"/>
  <c r="S3" i="1"/>
  <c r="R3" i="1"/>
  <c r="Q3" i="1"/>
  <c r="Q90" i="1" s="1"/>
  <c r="R90" i="1" l="1"/>
  <c r="S90" i="1"/>
  <c r="E84" i="1" l="1"/>
  <c r="D84" i="1"/>
  <c r="C84" i="1"/>
  <c r="E79" i="1"/>
  <c r="D79" i="1"/>
  <c r="C79" i="1"/>
  <c r="E75" i="1"/>
  <c r="D75" i="1"/>
  <c r="C75" i="1"/>
  <c r="E72" i="1"/>
  <c r="D72" i="1"/>
  <c r="C72" i="1"/>
  <c r="E69" i="1"/>
  <c r="D69" i="1"/>
  <c r="C69" i="1"/>
  <c r="E64" i="1"/>
  <c r="D64" i="1"/>
  <c r="C64" i="1"/>
  <c r="E62" i="1"/>
  <c r="D62" i="1"/>
  <c r="C62" i="1"/>
  <c r="E58" i="1"/>
  <c r="D58" i="1"/>
  <c r="C58" i="1"/>
  <c r="E51" i="1"/>
  <c r="D51" i="1"/>
  <c r="C51" i="1"/>
  <c r="E46" i="1"/>
  <c r="D46" i="1"/>
  <c r="C46" i="1"/>
  <c r="E43" i="1"/>
  <c r="D43" i="1"/>
  <c r="C43" i="1"/>
  <c r="E40" i="1"/>
  <c r="D40" i="1"/>
  <c r="C40" i="1"/>
  <c r="E35" i="1"/>
  <c r="D35" i="1"/>
  <c r="C35" i="1"/>
  <c r="E32" i="1"/>
  <c r="D32" i="1"/>
  <c r="C32" i="1"/>
  <c r="E28" i="1"/>
  <c r="D28" i="1"/>
  <c r="C28" i="1"/>
  <c r="E22" i="1"/>
  <c r="D22" i="1"/>
  <c r="C22" i="1"/>
  <c r="E18" i="1"/>
  <c r="D18" i="1"/>
  <c r="C18" i="1"/>
  <c r="E15" i="1"/>
  <c r="D15" i="1"/>
  <c r="C15" i="1"/>
  <c r="E12" i="1"/>
  <c r="D12" i="1"/>
  <c r="C12" i="1"/>
  <c r="E8" i="1"/>
  <c r="D8" i="1"/>
  <c r="C8" i="1"/>
  <c r="E3" i="1"/>
  <c r="D3" i="1"/>
  <c r="C3" i="1"/>
  <c r="L3" i="1"/>
  <c r="K3" i="1"/>
  <c r="J3" i="1"/>
  <c r="L84" i="1"/>
  <c r="K84" i="1"/>
  <c r="J84" i="1"/>
  <c r="L79" i="1"/>
  <c r="K79" i="1"/>
  <c r="J79" i="1"/>
  <c r="L75" i="1"/>
  <c r="K75" i="1"/>
  <c r="J75" i="1"/>
  <c r="L72" i="1"/>
  <c r="K72" i="1"/>
  <c r="J72" i="1"/>
  <c r="L69" i="1"/>
  <c r="K69" i="1"/>
  <c r="J69" i="1"/>
  <c r="L64" i="1"/>
  <c r="K64" i="1"/>
  <c r="J64" i="1"/>
  <c r="L62" i="1"/>
  <c r="K62" i="1"/>
  <c r="J62" i="1"/>
  <c r="L58" i="1"/>
  <c r="K58" i="1"/>
  <c r="J58" i="1"/>
  <c r="L51" i="1"/>
  <c r="K51" i="1"/>
  <c r="J51" i="1"/>
  <c r="L46" i="1"/>
  <c r="K46" i="1"/>
  <c r="J46" i="1"/>
  <c r="L43" i="1"/>
  <c r="K43" i="1"/>
  <c r="J43" i="1"/>
  <c r="L40" i="1"/>
  <c r="K40" i="1"/>
  <c r="J40" i="1"/>
  <c r="L35" i="1"/>
  <c r="K35" i="1"/>
  <c r="J35" i="1"/>
  <c r="L32" i="1"/>
  <c r="K32" i="1"/>
  <c r="J32" i="1"/>
  <c r="L28" i="1"/>
  <c r="K28" i="1"/>
  <c r="J28" i="1"/>
  <c r="L22" i="1"/>
  <c r="K22" i="1"/>
  <c r="J22" i="1"/>
  <c r="L18" i="1"/>
  <c r="K18" i="1"/>
  <c r="J18" i="1"/>
  <c r="L15" i="1"/>
  <c r="K15" i="1"/>
  <c r="J15" i="1"/>
  <c r="L12" i="1"/>
  <c r="K12" i="1"/>
  <c r="J12" i="1"/>
  <c r="L8" i="1"/>
  <c r="K8" i="1"/>
  <c r="J8" i="1"/>
  <c r="C90" i="1" l="1"/>
  <c r="D90" i="1"/>
  <c r="E90" i="1"/>
  <c r="J90" i="1"/>
  <c r="K90" i="1"/>
  <c r="L90" i="1"/>
</calcChain>
</file>

<file path=xl/sharedStrings.xml><?xml version="1.0" encoding="utf-8"?>
<sst xmlns="http://schemas.openxmlformats.org/spreadsheetml/2006/main" count="370" uniqueCount="258">
  <si>
    <t>Average 
error (%)</t>
  </si>
  <si>
    <t>averrage 
error in m</t>
  </si>
  <si>
    <t>average 
computation time</t>
  </si>
  <si>
    <t>error</t>
  </si>
  <si>
    <t>in m</t>
  </si>
  <si>
    <t>computation 
time</t>
  </si>
  <si>
    <t>estimated coordinate</t>
  </si>
  <si>
    <t>'3.00, 0.99, 1.20'</t>
  </si>
  <si>
    <t>'3.00, 0.99, 1.70'</t>
  </si>
  <si>
    <t>'5.00, 0.96, 1.20'</t>
  </si>
  <si>
    <t>'5.00, 0.96, 1.70'</t>
  </si>
  <si>
    <t>'2.92, 5.01, 1.20'</t>
  </si>
  <si>
    <t>'2.92, 5.01, 1.70'</t>
  </si>
  <si>
    <t>'4.97, 4.97, 1.20'</t>
  </si>
  <si>
    <t>'4.97, 4.97, 1.70'</t>
  </si>
  <si>
    <t>'6.98, 4.95, 1.20'</t>
  </si>
  <si>
    <t>'6.98, 4.95, 1.70'</t>
  </si>
  <si>
    <t>'10.94, 4.85, 1.20'</t>
  </si>
  <si>
    <t>'10.94, 4.85, 1.70'</t>
  </si>
  <si>
    <t>'6.97, 6.95, 1.20'</t>
  </si>
  <si>
    <t>'6.97, 6.95, 1.70'</t>
  </si>
  <si>
    <t>'10.96, 6.89, 1.20'</t>
  </si>
  <si>
    <t>'10.96, 6.89, 1.70'</t>
  </si>
  <si>
    <t>'6.93, 8.95, 1.20'</t>
  </si>
  <si>
    <t>'6.93, 8.95, 1.70'</t>
  </si>
  <si>
    <t>'1.00, 11.00, 1.70'</t>
  </si>
  <si>
    <t>'6.93, 10.93, 1.20'</t>
  </si>
  <si>
    <t>'6.93, 10.93, 1.70'</t>
  </si>
  <si>
    <t>Average:</t>
  </si>
  <si>
    <t>location</t>
  </si>
  <si>
    <t>[2.6426392,1.7702152,1.0118631]</t>
  </si>
  <si>
    <t>[2.6315448,1.6945940,0.98117131]</t>
  </si>
  <si>
    <t>[2.7959754,1.1901195,2.1267939]</t>
  </si>
  <si>
    <t>[3.0773966,1.2651207,1.3175447]</t>
  </si>
  <si>
    <t>[3.1154373,1.1428922,1.6409680]</t>
  </si>
  <si>
    <t>[2.8980148,1.2937979,1.9247476]</t>
  </si>
  <si>
    <t>[2.7665670,1.5417078,1.8134944]</t>
  </si>
  <si>
    <t>[2.8887503,1.4083164,1.6693319]</t>
  </si>
  <si>
    <t>[4.9683347,1.0230820,1.7580799]</t>
  </si>
  <si>
    <t>[4.8108029,1.1814095,1.3915182]</t>
  </si>
  <si>
    <t>[4.7337017,1.1844448,1.9436260]</t>
  </si>
  <si>
    <t>[4.7721872,1.2738193,1.8492789]</t>
  </si>
  <si>
    <t>[4.5306997,1.4584306,1.9977176]</t>
  </si>
  <si>
    <t>[4.5999417,1.3433019,1.6475393]</t>
  </si>
  <si>
    <t>[3.0302279,5.0011749,1.5192215]</t>
  </si>
  <si>
    <t>[3.1090038,4.9773731,1.6739469]</t>
  </si>
  <si>
    <t>[3.1395566,4.9781003,1.5887711]</t>
  </si>
  <si>
    <t>[3.0759811,4.9790349,1.7481047]</t>
  </si>
  <si>
    <t>[3.1054382,4.9813185,1.8888055]</t>
  </si>
  <si>
    <t>[3.0612550,4.9816761,1.9403930]</t>
  </si>
  <si>
    <t>[3.1988797,4.9589543,1.9443222]</t>
  </si>
  <si>
    <t>[3.1508334,4.9588118,1.9939936]</t>
  </si>
  <si>
    <t>[5.1705527,4.8919396,1.7340950]</t>
  </si>
  <si>
    <t>[5.1105919,4.9568706,1.6744338]</t>
  </si>
  <si>
    <t>[5.1896029,4.9356790,1.8706614]</t>
  </si>
  <si>
    <t>[5.0912890,4.9341893,1.7824715]</t>
  </si>
  <si>
    <t>[5.0805602,4.9488807,1.9798980]</t>
  </si>
  <si>
    <t>[5.1633754,4.9110165,1.9510581]</t>
  </si>
  <si>
    <t>[4.9884601,4.9494553,1.9079789]</t>
  </si>
  <si>
    <t>[6.9402251,4.9072504,1.7661963]</t>
  </si>
  <si>
    <t>[7.0970063,4.8544683,1.6708955]</t>
  </si>
  <si>
    <t>[6.7898998,4.9521313,1.8474520]</t>
  </si>
  <si>
    <t>[7.1162300,4.9083042,1.8838850]</t>
  </si>
  <si>
    <t>[7.1184502,4.9601688,2.0384464]</t>
  </si>
  <si>
    <t>[6.8947315,4.9571457,2.1717455]</t>
  </si>
  <si>
    <t>[10.616363,4.9330192,2.0490663]</t>
  </si>
  <si>
    <t>[11.307549,4.8752270,2.0730968]</t>
  </si>
  <si>
    <t>[10.768763,4.7855706,2.3915560]</t>
  </si>
  <si>
    <t>[10.539889,4.8607707,2.1853468]</t>
  </si>
  <si>
    <t>[10.397966,4.8586607,2.4390395]</t>
  </si>
  <si>
    <t>[10.857443,4.8666162,2.2686572]</t>
  </si>
  <si>
    <t>[10.262859,5.0144510,2.1080477]</t>
  </si>
  <si>
    <t>[6.7094841,6.8607779,1.9525279]</t>
  </si>
  <si>
    <t>[7.0237141,6.9016528,1.9385017]</t>
  </si>
  <si>
    <t>[7.0262995,6.9475107,1.7631252]</t>
  </si>
  <si>
    <t>[6.8838434,6.8576741,1.8504661]</t>
  </si>
  <si>
    <t>[7.0864239,6.9461832,2.2553999]</t>
  </si>
  <si>
    <t>[6.9728379,6.9462328,2.1003959]</t>
  </si>
  <si>
    <t>[7.0166969,6.9866142,2.3501978]</t>
  </si>
  <si>
    <t>[7.2204609,7.0000916,2.3081102]</t>
  </si>
  <si>
    <t>[11.642974,6.9733138,2.0969300]</t>
  </si>
  <si>
    <t>[10.967288,6.9482470,2.0852497]</t>
  </si>
  <si>
    <t>[10.196129,6.8217516,2.2072475]</t>
  </si>
  <si>
    <t>[10.482144,6.8985815,2.2813375]</t>
  </si>
  <si>
    <t>[10.550799,6.9660487,2.1523044]</t>
  </si>
  <si>
    <t>[10.280619,6.9089584,2.5357859]</t>
  </si>
  <si>
    <t>[10.778729,6.9700108,2.3572633]</t>
  </si>
  <si>
    <t>[7.0943680,8.9794855,2.1999512]</t>
  </si>
  <si>
    <t>[6.6686921,8.8509274,2.1177552]</t>
  </si>
  <si>
    <t>[6.8851762,8.9788294,1.8966529]</t>
  </si>
  <si>
    <t>[6.8262043,8.8904352,2.2633655]</t>
  </si>
  <si>
    <t>[7.1222758,9.0955515,2.3638990]</t>
  </si>
  <si>
    <t>[6.8049674,8.9448509,2.1626999]</t>
  </si>
  <si>
    <t>[1.1227901,10.485054,2.0251391]</t>
  </si>
  <si>
    <t>[1.1420106,10.493279,2.1600749]</t>
  </si>
  <si>
    <t>[1.2012590,10.447556,2.1394539]</t>
  </si>
  <si>
    <t>[1.1194831,10.636359,2.0228100]</t>
  </si>
  <si>
    <t>[7.9509773,11.357542,2.4536543]</t>
  </si>
  <si>
    <t>[7.5417576,11.119972,2.6374524]</t>
  </si>
  <si>
    <t>[6.9406300,10.881420,2.5228291]</t>
  </si>
  <si>
    <t>[7.5113211,11.183373,2.5207281]</t>
  </si>
  <si>
    <t>[6.8929501,10.927926,2.4114602]</t>
  </si>
  <si>
    <t>[7.0940905,11.005461,2.5810156]</t>
  </si>
  <si>
    <t>[6.8735485,10.890988,2.7999454]</t>
  </si>
  <si>
    <t>DNN</t>
  </si>
  <si>
    <t>PSO</t>
  </si>
  <si>
    <t>'2.72, 1.69, 1.04'</t>
  </si>
  <si>
    <t>'2.79, 1.50, 1.00'</t>
  </si>
  <si>
    <t>'3.16, 0.50, 2.00'</t>
  </si>
  <si>
    <t>'3.51, 0.50, 1.21'</t>
  </si>
  <si>
    <t>'3.46, 0.50, 1.46'</t>
  </si>
  <si>
    <t>'3.28, 0.50, 2.00'</t>
  </si>
  <si>
    <t>'3.00, 1.00, 2.00'</t>
  </si>
  <si>
    <t>'3.33, 0.57, 1.81'</t>
  </si>
  <si>
    <t>'5.18, 0.72, 1.90'</t>
  </si>
  <si>
    <t>'4.92, 1.06, 1.44'</t>
  </si>
  <si>
    <t>'4.84, 1.04, 2.00'</t>
  </si>
  <si>
    <t>'4.88, 1.13, 1.99'</t>
  </si>
  <si>
    <t>'4.57, 1.42, 2.00'</t>
  </si>
  <si>
    <t>'4.69, 1.26, 1.71'</t>
  </si>
  <si>
    <t>'2.98, 4.99, 1.54'</t>
  </si>
  <si>
    <t>'3.03, 4.97, 1.72'</t>
  </si>
  <si>
    <t>'3.08, 4.97, 1.62'</t>
  </si>
  <si>
    <t>'2.98, 4.97, 1.82'</t>
  </si>
  <si>
    <t>'2.96, 4.97, 2.00'</t>
  </si>
  <si>
    <t>'2.90, 4.98, 2.00'</t>
  </si>
  <si>
    <t>'3.04, 4.96, 2.00'</t>
  </si>
  <si>
    <t>'2.97, 4.96, 2.00'</t>
  </si>
  <si>
    <t>'2.96, 4.97, 1.99'</t>
  </si>
  <si>
    <t>'5.12, 4.88, 1.79'</t>
  </si>
  <si>
    <t>'5.06, 4.95, 1.72'</t>
  </si>
  <si>
    <t>'5.14, 4.92, 1.99'</t>
  </si>
  <si>
    <t>'5.04, 4.92, 1.86'</t>
  </si>
  <si>
    <t>'5.01, 4.94, 1.91'</t>
  </si>
  <si>
    <t>'5.10, 4.89, 1.98'</t>
  </si>
  <si>
    <t>'4.93, 4.92, 2.00'</t>
  </si>
  <si>
    <t>'6.94, 4.89, 1.79'</t>
  </si>
  <si>
    <t>'7.11, 4.83, 1.72'</t>
  </si>
  <si>
    <t>'6.80, 4.93, 1.92'</t>
  </si>
  <si>
    <t>'7.13, 4.88, 1.98'</t>
  </si>
  <si>
    <t>'7.13, 4.95, 2.00'</t>
  </si>
  <si>
    <t>'6.91, 4.97, 2.00'</t>
  </si>
  <si>
    <t>'10.64, 4.92, 2.00'</t>
  </si>
  <si>
    <t>'11.00, 4.86, 2.00'</t>
  </si>
  <si>
    <t>'10.68, 4.92, 2.00'</t>
  </si>
  <si>
    <t>'10.85, 4.83, 2.00'</t>
  </si>
  <si>
    <t>'10.56, 4.87, 2.00'</t>
  </si>
  <si>
    <t>'10.46, 4.92, 2.00'</t>
  </si>
  <si>
    <t>'10.93, 4.88, 2.00'</t>
  </si>
  <si>
    <t>'10.26, 5.00, 2.00'</t>
  </si>
  <si>
    <t>'6.71, 6.83, 2.00'</t>
  </si>
  <si>
    <t>'7.03, 6.87, 1.98'</t>
  </si>
  <si>
    <t>'7.03, 6.87, 2.00'</t>
  </si>
  <si>
    <t>'7.03, 6.87, 1.89'</t>
  </si>
  <si>
    <t>'7.03, 6.91, 1.81'</t>
  </si>
  <si>
    <t>'6.89, 6.82, 1.91'</t>
  </si>
  <si>
    <t>'7.14, 6.94, 2.00'</t>
  </si>
  <si>
    <t>'6.99, 6.93, 2.00'</t>
  </si>
  <si>
    <t>'7.09, 7.00, 2.00'</t>
  </si>
  <si>
    <t>'7.29, 6.99, 2.00'</t>
  </si>
  <si>
    <t>'11.00, 6.87, 1.63'</t>
  </si>
  <si>
    <t>'11.00, 6.87, 2.00'</t>
  </si>
  <si>
    <t>'10.29, 6.76, 2.00'</t>
  </si>
  <si>
    <t>'10.62, 6.84, 2.00'</t>
  </si>
  <si>
    <t>'10.65, 6.90, 2.00'</t>
  </si>
  <si>
    <t>'10.52, 6.87, 2.00'</t>
  </si>
  <si>
    <t>'11.00, 6.92, 2.00'</t>
  </si>
  <si>
    <t>'7.12, 8.95, 2.00'</t>
  </si>
  <si>
    <t>'6.66, 8.81, 2.00'</t>
  </si>
  <si>
    <t>'6.87, 8.90, 1.99'</t>
  </si>
  <si>
    <t>'6.86, 8.88, 2.00'</t>
  </si>
  <si>
    <t>'7.19, 9.10, 2.00'</t>
  </si>
  <si>
    <t>'6.81, 8.91, 2.00'</t>
  </si>
  <si>
    <t>'1.00, 11.00, 1.89'</t>
  </si>
  <si>
    <t>'1.00, 11.00, 1.93'</t>
  </si>
  <si>
    <t>'1.00, 9.11, 1.81'</t>
  </si>
  <si>
    <t>'7.27, 11.00, 2.00'</t>
  </si>
  <si>
    <t>'7.26, 11.00, 2.00'</t>
  </si>
  <si>
    <t>'7.10, 11.00, 2.00'</t>
  </si>
  <si>
    <t>'7.16, 11.00, 2.00'</t>
  </si>
  <si>
    <t>'7.01, 11.00, 2.00'</t>
  </si>
  <si>
    <t>'7.05, 11.00, 2.00'</t>
  </si>
  <si>
    <t>'6.97, 11.00, 2.00'</t>
  </si>
  <si>
    <t>Augmented DNN</t>
  </si>
  <si>
    <t>'2.68, 1.66, 1.04'</t>
  </si>
  <si>
    <t>'2.59, 1.65, 1.00'</t>
  </si>
  <si>
    <t>'2.47, 1.55, 1.52'</t>
  </si>
  <si>
    <t>'2.70, 1.53, 1.09'</t>
  </si>
  <si>
    <t>'2.67, 1.51, 1.23'</t>
  </si>
  <si>
    <t>'2.64, 1.56, 1.44'</t>
  </si>
  <si>
    <t>'2.68, 1.62, 1.44'</t>
  </si>
  <si>
    <t>'2.68, 1.58, 1.32'</t>
  </si>
  <si>
    <t>'4.75, 1.33, 1.36'</t>
  </si>
  <si>
    <t>'4.73, 1.37, 1.23'</t>
  </si>
  <si>
    <t>'4.66, 1.38, 1.48'</t>
  </si>
  <si>
    <t>'4.76, 1.41, 1.44'</t>
  </si>
  <si>
    <t>'4.61, 1.51, 1.56'</t>
  </si>
  <si>
    <t>'4.64, 1.43, 1.37'</t>
  </si>
  <si>
    <t>'2.91, 5.02, 1.45'</t>
  </si>
  <si>
    <t>'2.97, 5.00, 1.54'</t>
  </si>
  <si>
    <t>'3.02, 5.00, 1.50'</t>
  </si>
  <si>
    <t>'2.91, 5.00, 1.57'</t>
  </si>
  <si>
    <t>'2.90, 5.00, 1.64'</t>
  </si>
  <si>
    <t>'2.83, 4.99, 1.65'</t>
  </si>
  <si>
    <t>'2.99, 4.97, 1.67'</t>
  </si>
  <si>
    <t>'2.92, 4.97, 1.68'</t>
  </si>
  <si>
    <t>'5.03, 4.91, 1.45'</t>
  </si>
  <si>
    <t>'4.97, 4.97, 1.41'</t>
  </si>
  <si>
    <t>'5.03, 4.94, 1.54'</t>
  </si>
  <si>
    <t>'4.93, 4.94, 1.49'</t>
  </si>
  <si>
    <t>'4.89, 4.95, 1.63'</t>
  </si>
  <si>
    <t>'4.99, 4.91, 1.60'</t>
  </si>
  <si>
    <t>'4.80, 4.94, 1.59'</t>
  </si>
  <si>
    <t>'6.92, 4.92, 1.34'</t>
  </si>
  <si>
    <t>'7.12, 4.86, 1.29'</t>
  </si>
  <si>
    <t>'6.74, 4.97, 1.39'</t>
  </si>
  <si>
    <t>'7.11, 4.92, 1.39'</t>
  </si>
  <si>
    <t>'7.09, 4.97, 1.48'</t>
  </si>
  <si>
    <t>'6.82, 4.97, 1.58'</t>
  </si>
  <si>
    <t>'10.61, 4.99, 1.23'</t>
  </si>
  <si>
    <t>'11.03, 4.95, 1.22'</t>
  </si>
  <si>
    <t>'10.78, 4.89, 1.42'</t>
  </si>
  <si>
    <t>'10.56, 4.94, 1.31'</t>
  </si>
  <si>
    <t>'10.44, 4.97, 1.50'</t>
  </si>
  <si>
    <t>'10.84, 4.95, 1.34'</t>
  </si>
  <si>
    <t>'10.31, 5.05, 1.30'</t>
  </si>
  <si>
    <t>'6.60, 6.94, 1.43'</t>
  </si>
  <si>
    <t>'6.92, 6.97, 1.40'</t>
  </si>
  <si>
    <t>'6.92, 7.02, 1.33'</t>
  </si>
  <si>
    <t>'6.78, 6.93, 1.37'</t>
  </si>
  <si>
    <t>'6.99, 7.03, 1.57'</t>
  </si>
  <si>
    <t>'6.86, 7.03, 1.48'</t>
  </si>
  <si>
    <t>'6.92, 7.08, 1.64'</t>
  </si>
  <si>
    <t>'7.15, 7.08, 1.60'</t>
  </si>
  <si>
    <t>'11.30, 6.81, 1.25'</t>
  </si>
  <si>
    <t>'10.98, 6.80, 1.24'</t>
  </si>
  <si>
    <t>'10.42, 6.71, 1.37'</t>
  </si>
  <si>
    <t>'10.72, 6.77, 1.39'</t>
  </si>
  <si>
    <t>'10.74, 6.83, 1.30'</t>
  </si>
  <si>
    <t>'10.59, 6.82, 1.57'</t>
  </si>
  <si>
    <t>'10.98, 6.84, 1.41'</t>
  </si>
  <si>
    <t>'7.02, 9.07, 1.53'</t>
  </si>
  <si>
    <t>'6.62, 8.93, 1.51'</t>
  </si>
  <si>
    <t>'6.86, 9.06, 1.37'</t>
  </si>
  <si>
    <t>'6.76, 8.98, 1.59'</t>
  </si>
  <si>
    <t>'7.02, 9.18, 1.63'</t>
  </si>
  <si>
    <t>'6.75, 9.03, 1.53'</t>
  </si>
  <si>
    <t>'1.23, 10.82, 1.66'</t>
  </si>
  <si>
    <t>'1.22, 10.80, 1.72'</t>
  </si>
  <si>
    <t>'1.26, 10.79, 1.69'</t>
  </si>
  <si>
    <t>'1.23, 10.82, 1.70'</t>
  </si>
  <si>
    <t>'7.64, 11.52, 1.50'</t>
  </si>
  <si>
    <t>'7.38, 11.31, 1.64'</t>
  </si>
  <si>
    <t>'6.89, 11.03, 1.61'</t>
  </si>
  <si>
    <t>'7.32, 11.37, 1.56'</t>
  </si>
  <si>
    <t>'6.88, 11.09, 1.54'</t>
  </si>
  <si>
    <t>'6.99, 11.17, 1.63'</t>
  </si>
  <si>
    <t>'6.78, 11.00, 1.79'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</si>
</sst>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11" fontId="1" fillId="0" borderId="1" xfId="0" applyNumberFormat="1" applyFont="1" applyBorder="1" applyAlignment="1">
      <alignment horizontal="center"/>
    </xf>
    <xf numFmtId="11" fontId="1" fillId="0" borderId="5" xfId="0" applyNumberFormat="1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11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/>
    <xf numFmtId="11" fontId="1" fillId="0" borderId="7" xfId="0" applyNumberFormat="1" applyFont="1" applyBorder="1" applyAlignment="1">
      <alignment horizontal="center"/>
    </xf>
    <xf numFmtId="11" fontId="1" fillId="0" borderId="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1" fontId="1" fillId="0" borderId="3" xfId="0" applyNumberFormat="1" applyFont="1" applyBorder="1" applyAlignment="1">
      <alignment horizontal="center"/>
    </xf>
    <xf numFmtId="11" fontId="1" fillId="0" borderId="6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1" fontId="1" fillId="0" borderId="0" xfId="0" applyNumberFormat="1" applyFont="1" applyAlignment="1">
      <alignment horizontal="center"/>
    </xf>
    <xf numFmtId="11" fontId="1" fillId="0" borderId="9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0" xfId="0" applyFont="1"/>
    <xf numFmtId="164" fontId="3" fillId="0" borderId="0" xfId="0" applyNumberFormat="1" applyFont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0"/>
  <sheetViews>
    <sheetView tabSelected="1" topLeftCell="A73" zoomScale="85" zoomScaleNormal="85" workbookViewId="0">
      <selection activeCell="Z92" sqref="Z92"/>
    </sheetView>
  </sheetViews>
  <sheetFormatPr defaultRowHeight="15" x14ac:dyDescent="0.25"/>
  <cols>
    <col min="1" max="1" width="3.140625" bestFit="1" customWidth="1"/>
    <col min="2" max="2" width="16" bestFit="1" customWidth="1"/>
    <col min="3" max="4" width="9.85546875" bestFit="1" customWidth="1"/>
    <col min="5" max="5" width="13.28515625" bestFit="1" customWidth="1"/>
    <col min="6" max="7" width="5.28515625" bestFit="1" customWidth="1"/>
    <col min="8" max="8" width="9.7109375" bestFit="1" customWidth="1"/>
    <col min="9" max="9" width="16.140625" bestFit="1" customWidth="1"/>
    <col min="10" max="10" width="11.42578125" bestFit="1" customWidth="1"/>
    <col min="11" max="11" width="9.85546875" bestFit="1" customWidth="1"/>
    <col min="12" max="12" width="9.7109375" bestFit="1" customWidth="1"/>
    <col min="13" max="13" width="8.7109375" bestFit="1" customWidth="1"/>
    <col min="14" max="14" width="9.5703125" bestFit="1" customWidth="1"/>
    <col min="15" max="15" width="9.7109375" customWidth="1"/>
    <col min="16" max="16" width="26" customWidth="1"/>
    <col min="17" max="19" width="9.85546875" bestFit="1" customWidth="1"/>
    <col min="20" max="20" width="8.7109375" bestFit="1" customWidth="1"/>
    <col min="21" max="21" width="10.42578125" bestFit="1" customWidth="1"/>
    <col min="22" max="22" width="8.85546875" bestFit="1" customWidth="1"/>
    <col min="23" max="23" width="16.140625" bestFit="1" customWidth="1"/>
  </cols>
  <sheetData>
    <row r="1" spans="1:23" ht="15.75" thickBot="1" x14ac:dyDescent="0.3">
      <c r="C1" s="34" t="s">
        <v>105</v>
      </c>
      <c r="D1" s="35"/>
      <c r="E1" s="35"/>
      <c r="F1" s="35"/>
      <c r="G1" s="35"/>
      <c r="H1" s="35"/>
      <c r="I1" s="36"/>
      <c r="J1" s="34" t="s">
        <v>104</v>
      </c>
      <c r="K1" s="35"/>
      <c r="L1" s="35"/>
      <c r="M1" s="35"/>
      <c r="N1" s="35"/>
      <c r="O1" s="35"/>
      <c r="P1" s="36"/>
      <c r="Q1" s="34" t="s">
        <v>183</v>
      </c>
      <c r="R1" s="35"/>
      <c r="S1" s="35"/>
      <c r="T1" s="35"/>
      <c r="U1" s="35"/>
      <c r="V1" s="35"/>
      <c r="W1" s="36"/>
    </row>
    <row r="2" spans="1:23" ht="34.5" thickBot="1" x14ac:dyDescent="0.3">
      <c r="A2" s="1"/>
      <c r="B2" s="2" t="s">
        <v>29</v>
      </c>
      <c r="C2" s="29" t="s">
        <v>0</v>
      </c>
      <c r="D2" s="30" t="s">
        <v>1</v>
      </c>
      <c r="E2" s="31" t="s">
        <v>2</v>
      </c>
      <c r="F2" s="23" t="s">
        <v>3</v>
      </c>
      <c r="G2" s="24" t="s">
        <v>4</v>
      </c>
      <c r="H2" s="25" t="s">
        <v>5</v>
      </c>
      <c r="I2" s="26" t="s">
        <v>6</v>
      </c>
      <c r="J2" s="29" t="s">
        <v>0</v>
      </c>
      <c r="K2" s="30" t="s">
        <v>1</v>
      </c>
      <c r="L2" s="31" t="s">
        <v>2</v>
      </c>
      <c r="M2" s="23" t="s">
        <v>3</v>
      </c>
      <c r="N2" s="24" t="s">
        <v>4</v>
      </c>
      <c r="O2" s="25" t="s">
        <v>5</v>
      </c>
      <c r="P2" s="26" t="s">
        <v>6</v>
      </c>
      <c r="Q2" s="29" t="s">
        <v>0</v>
      </c>
      <c r="R2" s="30" t="s">
        <v>1</v>
      </c>
      <c r="S2" s="31" t="s">
        <v>2</v>
      </c>
      <c r="T2" s="23" t="s">
        <v>3</v>
      </c>
      <c r="U2" s="24" t="s">
        <v>4</v>
      </c>
      <c r="V2" s="25" t="s">
        <v>5</v>
      </c>
      <c r="W2" s="26" t="s">
        <v>6</v>
      </c>
    </row>
    <row r="3" spans="1:23" x14ac:dyDescent="0.25">
      <c r="A3" s="1">
        <v>2</v>
      </c>
      <c r="B3" s="2" t="s">
        <v>7</v>
      </c>
      <c r="C3" s="3">
        <f>AVERAGE(F3:F7)</f>
        <v>13.831999999999999</v>
      </c>
      <c r="D3" s="3">
        <f>AVERAGE(G3:G7)</f>
        <v>0.74839999999999995</v>
      </c>
      <c r="E3" s="3">
        <f>AVERAGE(H3:H7)</f>
        <v>0.54400000000000004</v>
      </c>
      <c r="F3" s="27">
        <v>14.35</v>
      </c>
      <c r="G3" s="6">
        <v>0.77600000000000002</v>
      </c>
      <c r="H3" s="6">
        <v>0.72</v>
      </c>
      <c r="I3" s="6" t="s">
        <v>106</v>
      </c>
      <c r="J3" s="3">
        <f>AVERAGE(M3:M7)</f>
        <v>12.82399992</v>
      </c>
      <c r="K3" s="3">
        <f>AVERAGE(N3:N7)</f>
        <v>0.69400000599999989</v>
      </c>
      <c r="L3" s="3">
        <f>AVERAGE(O3:O7)</f>
        <v>3.2000000000000001E-2</v>
      </c>
      <c r="M3" s="3">
        <v>16.27</v>
      </c>
      <c r="N3" s="5">
        <v>0.88099998000000002</v>
      </c>
      <c r="O3" s="6">
        <v>7.0000000000000007E-2</v>
      </c>
      <c r="P3" s="20" t="s">
        <v>30</v>
      </c>
      <c r="Q3" s="3">
        <f>AVERAGE(T3:T7)</f>
        <v>13.488</v>
      </c>
      <c r="R3" s="3">
        <f>AVERAGE(U3:U7)</f>
        <v>0.72959998999999998</v>
      </c>
      <c r="S3" s="3">
        <f>AVERAGE(V3:V7)</f>
        <v>0.11400000000000002</v>
      </c>
      <c r="T3" s="27">
        <v>14.07</v>
      </c>
      <c r="U3" s="6">
        <v>0.76099998000000002</v>
      </c>
      <c r="V3" s="6">
        <v>0.44</v>
      </c>
      <c r="W3" s="22" t="s">
        <v>184</v>
      </c>
    </row>
    <row r="4" spans="1:23" x14ac:dyDescent="0.25">
      <c r="A4" s="7"/>
      <c r="B4" t="s">
        <v>7</v>
      </c>
      <c r="C4" s="7"/>
      <c r="D4" s="19"/>
      <c r="E4" s="19"/>
      <c r="F4" s="17">
        <v>10.88</v>
      </c>
      <c r="G4" s="9">
        <v>0.58899999999999997</v>
      </c>
      <c r="H4" s="9">
        <v>0.63</v>
      </c>
      <c r="I4" s="9" t="s">
        <v>107</v>
      </c>
      <c r="J4" s="7"/>
      <c r="K4" s="19"/>
      <c r="L4" s="19"/>
      <c r="M4" s="15">
        <v>15.27</v>
      </c>
      <c r="N4" s="19">
        <v>0.82700001999999995</v>
      </c>
      <c r="O4" s="9">
        <v>0.02</v>
      </c>
      <c r="P4" s="8" t="s">
        <v>31</v>
      </c>
      <c r="Q4" s="7"/>
      <c r="R4" s="19"/>
      <c r="S4" s="19"/>
      <c r="T4" s="17">
        <v>14.83</v>
      </c>
      <c r="U4" s="37">
        <v>0.80199999</v>
      </c>
      <c r="V4" s="37">
        <v>0.04</v>
      </c>
      <c r="W4" s="18" t="s">
        <v>185</v>
      </c>
    </row>
    <row r="5" spans="1:23" x14ac:dyDescent="0.25">
      <c r="A5" s="7"/>
      <c r="B5" t="s">
        <v>7</v>
      </c>
      <c r="C5" s="7"/>
      <c r="D5" s="19"/>
      <c r="E5" s="19"/>
      <c r="F5" s="17">
        <v>17.559999999999999</v>
      </c>
      <c r="G5" s="9">
        <v>0.95</v>
      </c>
      <c r="H5" s="9">
        <v>0.46</v>
      </c>
      <c r="I5" s="9" t="s">
        <v>108</v>
      </c>
      <c r="J5" s="7"/>
      <c r="K5" s="19"/>
      <c r="L5" s="19"/>
      <c r="M5" s="15">
        <v>17.93</v>
      </c>
      <c r="N5" s="19">
        <v>0.97000003000000001</v>
      </c>
      <c r="O5" s="9">
        <v>0.02</v>
      </c>
      <c r="P5" s="8" t="s">
        <v>32</v>
      </c>
      <c r="Q5" s="7"/>
      <c r="R5" s="19"/>
      <c r="S5" s="19"/>
      <c r="T5" s="17">
        <v>15.43</v>
      </c>
      <c r="U5" s="37">
        <v>0.83499997999999997</v>
      </c>
      <c r="V5" s="37">
        <v>0.03</v>
      </c>
      <c r="W5" s="18" t="s">
        <v>186</v>
      </c>
    </row>
    <row r="6" spans="1:23" x14ac:dyDescent="0.25">
      <c r="A6" s="7"/>
      <c r="B6" t="s">
        <v>7</v>
      </c>
      <c r="C6" s="7"/>
      <c r="D6" s="19"/>
      <c r="E6" s="19"/>
      <c r="F6" s="17">
        <v>13.05</v>
      </c>
      <c r="G6" s="9">
        <v>0.70599999999999996</v>
      </c>
      <c r="H6" s="9">
        <v>0.45</v>
      </c>
      <c r="I6" s="9" t="s">
        <v>109</v>
      </c>
      <c r="J6" s="7"/>
      <c r="K6" s="19"/>
      <c r="L6" s="19"/>
      <c r="M6" s="15">
        <v>5.75</v>
      </c>
      <c r="N6" s="19">
        <v>0.31099999</v>
      </c>
      <c r="O6" s="9">
        <v>0.03</v>
      </c>
      <c r="P6" s="8" t="s">
        <v>33</v>
      </c>
      <c r="Q6" s="7"/>
      <c r="R6" s="19"/>
      <c r="S6" s="19"/>
      <c r="T6" s="17">
        <v>11.68</v>
      </c>
      <c r="U6" s="37">
        <v>0.63200003000000005</v>
      </c>
      <c r="V6" s="37">
        <v>0.03</v>
      </c>
      <c r="W6" s="18" t="s">
        <v>187</v>
      </c>
    </row>
    <row r="7" spans="1:23" ht="15.75" thickBot="1" x14ac:dyDescent="0.3">
      <c r="A7" s="10"/>
      <c r="B7" s="11" t="s">
        <v>7</v>
      </c>
      <c r="C7" s="10"/>
      <c r="D7" s="12"/>
      <c r="E7" s="12"/>
      <c r="F7" s="28">
        <v>13.32</v>
      </c>
      <c r="G7" s="14">
        <v>0.72099999999999997</v>
      </c>
      <c r="H7" s="14">
        <v>0.46</v>
      </c>
      <c r="I7" s="14" t="s">
        <v>110</v>
      </c>
      <c r="J7" s="10"/>
      <c r="K7" s="12"/>
      <c r="L7" s="12"/>
      <c r="M7" s="16">
        <v>8.8999995999999992</v>
      </c>
      <c r="N7" s="12">
        <v>0.48100000999999998</v>
      </c>
      <c r="O7" s="14">
        <v>0.02</v>
      </c>
      <c r="P7" s="13" t="s">
        <v>34</v>
      </c>
      <c r="Q7" s="10"/>
      <c r="R7" s="12"/>
      <c r="S7" s="12"/>
      <c r="T7" s="28">
        <v>11.43</v>
      </c>
      <c r="U7" s="14">
        <v>0.61799996999999995</v>
      </c>
      <c r="V7" s="14">
        <v>0.03</v>
      </c>
      <c r="W7" s="21" t="s">
        <v>188</v>
      </c>
    </row>
    <row r="8" spans="1:23" x14ac:dyDescent="0.25">
      <c r="A8" s="7">
        <v>3</v>
      </c>
      <c r="B8" t="s">
        <v>8</v>
      </c>
      <c r="C8" s="15">
        <f>AVERAGE(F8:F11)</f>
        <v>9.8000000000000007</v>
      </c>
      <c r="D8" s="15">
        <f>AVERAGE(G8:G11)</f>
        <v>0.52925</v>
      </c>
      <c r="E8" s="15">
        <f>AVERAGE(H8:H11)</f>
        <v>0.45749999999999996</v>
      </c>
      <c r="F8" s="17">
        <v>11.81</v>
      </c>
      <c r="G8" s="9">
        <v>0.63800000000000001</v>
      </c>
      <c r="H8" s="9">
        <v>0.47</v>
      </c>
      <c r="I8" s="9" t="s">
        <v>111</v>
      </c>
      <c r="J8" s="15">
        <f>AVERAGE(M8:M11)</f>
        <v>8.4925000750000006</v>
      </c>
      <c r="K8" s="15">
        <f>AVERAGE(N8:N11)</f>
        <v>0.45850000000000002</v>
      </c>
      <c r="L8" s="15">
        <f>AVERAGE(O8:O11)</f>
        <v>0.02</v>
      </c>
      <c r="M8" s="15">
        <v>7.2800001999999999</v>
      </c>
      <c r="N8" s="19">
        <v>0.39300001000000001</v>
      </c>
      <c r="O8" s="9">
        <v>0.02</v>
      </c>
      <c r="P8" s="8" t="s">
        <v>35</v>
      </c>
      <c r="Q8" s="15">
        <f>AVERAGE(T8:T11)</f>
        <v>13.757499999999999</v>
      </c>
      <c r="R8" s="15">
        <f>AVERAGE(U8:U11)</f>
        <v>0.74324999999999997</v>
      </c>
      <c r="S8" s="15">
        <f>AVERAGE(V8:V11)</f>
        <v>4.5000000000000005E-2</v>
      </c>
      <c r="T8" s="17">
        <v>13.4</v>
      </c>
      <c r="U8" s="37">
        <v>0.72399997999999999</v>
      </c>
      <c r="V8" s="37">
        <v>0.04</v>
      </c>
      <c r="W8" s="18" t="s">
        <v>189</v>
      </c>
    </row>
    <row r="9" spans="1:23" x14ac:dyDescent="0.25">
      <c r="A9" s="7"/>
      <c r="B9" t="s">
        <v>8</v>
      </c>
      <c r="C9" s="15"/>
      <c r="D9" s="19"/>
      <c r="E9" s="19"/>
      <c r="F9" s="17">
        <v>5.56</v>
      </c>
      <c r="G9" s="9">
        <v>0.3</v>
      </c>
      <c r="H9" s="9">
        <v>0.48</v>
      </c>
      <c r="I9" s="9" t="s">
        <v>112</v>
      </c>
      <c r="J9" s="15"/>
      <c r="K9" s="19"/>
      <c r="L9" s="19"/>
      <c r="M9" s="15">
        <v>11.33</v>
      </c>
      <c r="N9" s="19">
        <v>0.61199999000000005</v>
      </c>
      <c r="O9" s="9">
        <v>0.02</v>
      </c>
      <c r="P9" s="8" t="s">
        <v>36</v>
      </c>
      <c r="Q9" s="15"/>
      <c r="R9" s="19"/>
      <c r="S9" s="19"/>
      <c r="T9" s="17">
        <v>13.96</v>
      </c>
      <c r="U9" s="37">
        <v>0.75400001000000005</v>
      </c>
      <c r="V9" s="37">
        <v>0.05</v>
      </c>
      <c r="W9" s="18" t="s">
        <v>190</v>
      </c>
    </row>
    <row r="10" spans="1:23" x14ac:dyDescent="0.25">
      <c r="A10" s="7"/>
      <c r="B10" t="s">
        <v>8</v>
      </c>
      <c r="C10" s="15"/>
      <c r="D10" s="19"/>
      <c r="E10" s="19"/>
      <c r="F10" s="17">
        <v>10.02</v>
      </c>
      <c r="G10" s="9">
        <v>0.54100000000000004</v>
      </c>
      <c r="H10" s="9">
        <v>0.44</v>
      </c>
      <c r="I10" s="9" t="s">
        <v>113</v>
      </c>
      <c r="J10" s="15"/>
      <c r="K10" s="19"/>
      <c r="L10" s="19"/>
      <c r="M10" s="15">
        <v>8.0799999000000007</v>
      </c>
      <c r="N10" s="19">
        <v>0.43599999</v>
      </c>
      <c r="O10" s="9">
        <v>0.02</v>
      </c>
      <c r="P10" s="18" t="s">
        <v>37</v>
      </c>
      <c r="Q10" s="15"/>
      <c r="R10" s="19"/>
      <c r="S10" s="19"/>
      <c r="T10" s="17">
        <v>14.27</v>
      </c>
      <c r="U10" s="37">
        <v>0.77100002999999995</v>
      </c>
      <c r="V10" s="37">
        <v>0.05</v>
      </c>
      <c r="W10" s="18" t="s">
        <v>191</v>
      </c>
    </row>
    <row r="11" spans="1:23" ht="15.75" thickBot="1" x14ac:dyDescent="0.3">
      <c r="A11" s="7"/>
      <c r="B11" t="s">
        <v>8</v>
      </c>
      <c r="C11" s="16"/>
      <c r="D11" s="12"/>
      <c r="E11" s="12"/>
      <c r="F11" s="17">
        <v>11.81</v>
      </c>
      <c r="G11" s="9">
        <v>0.63800000000000001</v>
      </c>
      <c r="H11" s="9">
        <v>0.44</v>
      </c>
      <c r="I11" s="9" t="s">
        <v>111</v>
      </c>
      <c r="J11" s="16"/>
      <c r="K11" s="12"/>
      <c r="L11" s="12"/>
      <c r="M11" s="15">
        <v>7.2800001999999999</v>
      </c>
      <c r="N11" s="19">
        <v>0.39300001000000001</v>
      </c>
      <c r="O11" s="9">
        <v>0.02</v>
      </c>
      <c r="P11" s="8" t="s">
        <v>35</v>
      </c>
      <c r="Q11" s="16"/>
      <c r="R11" s="12"/>
      <c r="S11" s="12"/>
      <c r="T11" s="17">
        <v>13.4</v>
      </c>
      <c r="U11" s="37">
        <v>0.72399997999999999</v>
      </c>
      <c r="V11" s="37">
        <v>0.04</v>
      </c>
      <c r="W11" s="18" t="s">
        <v>189</v>
      </c>
    </row>
    <row r="12" spans="1:23" x14ac:dyDescent="0.25">
      <c r="A12" s="1">
        <v>4</v>
      </c>
      <c r="B12" s="2" t="s">
        <v>9</v>
      </c>
      <c r="C12" s="3">
        <f>AVERAGE(F12:F14)</f>
        <v>9.5766666666666662</v>
      </c>
      <c r="D12" s="3">
        <f>AVERAGE(G12:G14)</f>
        <v>0.61799999999999999</v>
      </c>
      <c r="E12" s="3">
        <f>AVERAGE(H12:H14)</f>
        <v>0.44999999999999996</v>
      </c>
      <c r="F12" s="27">
        <v>11.81</v>
      </c>
      <c r="G12" s="6">
        <v>0.76200000000000001</v>
      </c>
      <c r="H12" s="6">
        <v>0.48</v>
      </c>
      <c r="I12" s="6" t="s">
        <v>114</v>
      </c>
      <c r="J12" s="3">
        <f>AVERAGE(M12:M14)</f>
        <v>8.963333200000001</v>
      </c>
      <c r="K12" s="3">
        <f>AVERAGE(N12:N14)</f>
        <v>0.57766667000000005</v>
      </c>
      <c r="L12" s="3">
        <f>AVERAGE(O12:O14)</f>
        <v>0.02</v>
      </c>
      <c r="M12" s="3">
        <v>8.7299994999999999</v>
      </c>
      <c r="N12" s="5">
        <v>0.56300002000000005</v>
      </c>
      <c r="O12" s="6">
        <v>0.02</v>
      </c>
      <c r="P12" s="20" t="s">
        <v>38</v>
      </c>
      <c r="Q12" s="3">
        <f>AVERAGE(T12:T14)</f>
        <v>8.1566669333333337</v>
      </c>
      <c r="R12" s="3">
        <f>AVERAGE(U12:U14)</f>
        <v>0.52633333333333332</v>
      </c>
      <c r="S12" s="3">
        <f>AVERAGE(V12:V14)</f>
        <v>0.04</v>
      </c>
      <c r="T12" s="27">
        <v>7.3000002000000004</v>
      </c>
      <c r="U12" s="6">
        <v>0.47099998999999998</v>
      </c>
      <c r="V12" s="6">
        <v>0.04</v>
      </c>
      <c r="W12" s="22" t="s">
        <v>192</v>
      </c>
    </row>
    <row r="13" spans="1:23" x14ac:dyDescent="0.25">
      <c r="A13" s="7"/>
      <c r="B13" t="s">
        <v>9</v>
      </c>
      <c r="C13" s="15"/>
      <c r="D13" s="19"/>
      <c r="E13" s="19"/>
      <c r="F13" s="17">
        <v>4.21</v>
      </c>
      <c r="G13" s="9">
        <v>0.27200000000000002</v>
      </c>
      <c r="H13" s="9">
        <v>0.44</v>
      </c>
      <c r="I13" s="9" t="s">
        <v>115</v>
      </c>
      <c r="J13" s="15"/>
      <c r="K13" s="19"/>
      <c r="L13" s="19"/>
      <c r="M13" s="15">
        <v>5.4200001000000002</v>
      </c>
      <c r="N13" s="19">
        <v>0.34900001000000003</v>
      </c>
      <c r="O13" s="9">
        <v>0.02</v>
      </c>
      <c r="P13" s="18" t="s">
        <v>39</v>
      </c>
      <c r="Q13" s="15"/>
      <c r="R13" s="19"/>
      <c r="S13" s="19"/>
      <c r="T13" s="17">
        <v>7.6500000999999997</v>
      </c>
      <c r="U13" s="37">
        <v>0.49399999</v>
      </c>
      <c r="V13" s="37">
        <v>0.04</v>
      </c>
      <c r="W13" s="18" t="s">
        <v>193</v>
      </c>
    </row>
    <row r="14" spans="1:23" ht="15.75" thickBot="1" x14ac:dyDescent="0.3">
      <c r="A14" s="10"/>
      <c r="B14" s="11" t="s">
        <v>9</v>
      </c>
      <c r="C14" s="16"/>
      <c r="D14" s="12"/>
      <c r="E14" s="12"/>
      <c r="F14" s="28">
        <v>12.71</v>
      </c>
      <c r="G14" s="14">
        <v>0.82</v>
      </c>
      <c r="H14" s="14">
        <v>0.43</v>
      </c>
      <c r="I14" s="14" t="s">
        <v>116</v>
      </c>
      <c r="J14" s="16"/>
      <c r="K14" s="12"/>
      <c r="L14" s="12"/>
      <c r="M14" s="16">
        <v>12.74</v>
      </c>
      <c r="N14" s="12">
        <v>0.82099997999999996</v>
      </c>
      <c r="O14" s="14">
        <v>0.02</v>
      </c>
      <c r="P14" s="21" t="s">
        <v>40</v>
      </c>
      <c r="Q14" s="16"/>
      <c r="R14" s="12"/>
      <c r="S14" s="12"/>
      <c r="T14" s="28">
        <v>9.5200005000000001</v>
      </c>
      <c r="U14" s="14">
        <v>0.61400001999999998</v>
      </c>
      <c r="V14" s="14">
        <v>0.04</v>
      </c>
      <c r="W14" s="21" t="s">
        <v>194</v>
      </c>
    </row>
    <row r="15" spans="1:23" x14ac:dyDescent="0.25">
      <c r="A15" s="7">
        <v>5</v>
      </c>
      <c r="B15" t="s">
        <v>10</v>
      </c>
      <c r="C15" s="15">
        <f>AVERAGE(F15:F17)</f>
        <v>7.7366666666666672</v>
      </c>
      <c r="D15" s="15">
        <f>AVERAGE(G15:G17)</f>
        <v>0.49833333333333329</v>
      </c>
      <c r="E15" s="15">
        <f>AVERAGE(H15:H17)</f>
        <v>0.47333333333333333</v>
      </c>
      <c r="F15" s="17">
        <v>5.54</v>
      </c>
      <c r="G15" s="9">
        <v>0.35699999999999998</v>
      </c>
      <c r="H15" s="9">
        <v>0.43</v>
      </c>
      <c r="I15" s="9" t="s">
        <v>117</v>
      </c>
      <c r="J15" s="15">
        <f>AVERAGE(M15:M17)</f>
        <v>8.9099997999999996</v>
      </c>
      <c r="K15" s="15">
        <f>AVERAGE(N15:N17)</f>
        <v>0.57366665333333333</v>
      </c>
      <c r="L15" s="15">
        <f>AVERAGE(O15:O17)</f>
        <v>0.02</v>
      </c>
      <c r="M15" s="15">
        <v>6.4699998000000001</v>
      </c>
      <c r="N15" s="19">
        <v>0.41699999999999998</v>
      </c>
      <c r="O15" s="9">
        <v>0.02</v>
      </c>
      <c r="P15" s="18" t="s">
        <v>41</v>
      </c>
      <c r="Q15" s="15">
        <f>AVERAGE(T15:T17)</f>
        <v>10.050000033333333</v>
      </c>
      <c r="R15" s="15">
        <f>AVERAGE(U15:U17)</f>
        <v>0.64699999666666663</v>
      </c>
      <c r="S15" s="15">
        <f>AVERAGE(V15:V17)</f>
        <v>0.04</v>
      </c>
      <c r="T15" s="17">
        <v>8.9200000999999993</v>
      </c>
      <c r="U15" s="37">
        <v>0.57399999999999995</v>
      </c>
      <c r="V15" s="37">
        <v>0.04</v>
      </c>
      <c r="W15" s="18" t="s">
        <v>195</v>
      </c>
    </row>
    <row r="16" spans="1:23" x14ac:dyDescent="0.25">
      <c r="A16" s="7"/>
      <c r="B16" t="s">
        <v>10</v>
      </c>
      <c r="C16" s="15"/>
      <c r="D16" s="19"/>
      <c r="E16" s="19"/>
      <c r="F16" s="17">
        <v>10.93</v>
      </c>
      <c r="G16" s="9">
        <v>0.70399999999999996</v>
      </c>
      <c r="H16" s="9">
        <v>0.45</v>
      </c>
      <c r="I16" s="9" t="s">
        <v>118</v>
      </c>
      <c r="J16" s="15"/>
      <c r="K16" s="19"/>
      <c r="L16" s="19"/>
      <c r="M16" s="15">
        <v>11.61</v>
      </c>
      <c r="N16" s="19">
        <v>0.74699998000000001</v>
      </c>
      <c r="O16" s="9">
        <v>0.02</v>
      </c>
      <c r="P16" s="18" t="s">
        <v>42</v>
      </c>
      <c r="Q16" s="15"/>
      <c r="R16" s="19"/>
      <c r="S16" s="19"/>
      <c r="T16" s="17">
        <v>10.67</v>
      </c>
      <c r="U16" s="37">
        <v>0.68699997999999995</v>
      </c>
      <c r="V16" s="37">
        <v>0.04</v>
      </c>
      <c r="W16" s="18" t="s">
        <v>196</v>
      </c>
    </row>
    <row r="17" spans="1:23" ht="15.75" thickBot="1" x14ac:dyDescent="0.3">
      <c r="A17" s="7"/>
      <c r="B17" t="s">
        <v>10</v>
      </c>
      <c r="C17" s="16"/>
      <c r="D17" s="12"/>
      <c r="E17" s="12"/>
      <c r="F17" s="17">
        <v>6.74</v>
      </c>
      <c r="G17" s="9">
        <v>0.434</v>
      </c>
      <c r="H17" s="9">
        <v>0.54</v>
      </c>
      <c r="I17" s="9" t="s">
        <v>119</v>
      </c>
      <c r="J17" s="16"/>
      <c r="K17" s="12"/>
      <c r="L17" s="12"/>
      <c r="M17" s="15">
        <v>8.6499995999999992</v>
      </c>
      <c r="N17" s="19">
        <v>0.55699997999999995</v>
      </c>
      <c r="O17" s="9">
        <v>0.02</v>
      </c>
      <c r="P17" s="18" t="s">
        <v>43</v>
      </c>
      <c r="Q17" s="16"/>
      <c r="R17" s="12"/>
      <c r="S17" s="12"/>
      <c r="T17" s="17">
        <v>10.56</v>
      </c>
      <c r="U17" s="37">
        <v>0.68000000999999999</v>
      </c>
      <c r="V17" s="37">
        <v>0.04</v>
      </c>
      <c r="W17" s="18" t="s">
        <v>197</v>
      </c>
    </row>
    <row r="18" spans="1:23" x14ac:dyDescent="0.25">
      <c r="A18" s="1">
        <v>16</v>
      </c>
      <c r="B18" s="2" t="s">
        <v>11</v>
      </c>
      <c r="C18" s="3">
        <f>AVERAGE(F18:F21)</f>
        <v>17.329999999999998</v>
      </c>
      <c r="D18" s="3">
        <f>AVERAGE(G18:G21)</f>
        <v>0.48550000000000004</v>
      </c>
      <c r="E18" s="3">
        <f>AVERAGE(H18:H21)</f>
        <v>0.44750000000000001</v>
      </c>
      <c r="F18" s="27">
        <v>12.29</v>
      </c>
      <c r="G18" s="6">
        <v>0.34399999999999997</v>
      </c>
      <c r="H18" s="6">
        <v>0.44</v>
      </c>
      <c r="I18" s="6" t="s">
        <v>120</v>
      </c>
      <c r="J18" s="3">
        <f>AVERAGE(M18:M21)</f>
        <v>16.66000025</v>
      </c>
      <c r="K18" s="3">
        <f>AVERAGE(N18:N21)</f>
        <v>0.46674999000000006</v>
      </c>
      <c r="L18" s="3">
        <f>AVERAGE(O18:O21)</f>
        <v>1.2500000000000001E-2</v>
      </c>
      <c r="M18" s="27">
        <v>12.05</v>
      </c>
      <c r="N18" s="6">
        <v>0.33800000000000002</v>
      </c>
      <c r="O18" s="6">
        <v>0.01</v>
      </c>
      <c r="P18" s="22" t="s">
        <v>44</v>
      </c>
      <c r="Q18" s="3">
        <f>AVERAGE(T18:T21)</f>
        <v>11.512499999999999</v>
      </c>
      <c r="R18" s="3">
        <f>AVERAGE(U18:U21)</f>
        <v>0.32275000249999997</v>
      </c>
      <c r="S18" s="3">
        <f>AVERAGE(V18:V21)</f>
        <v>3.2500000000000001E-2</v>
      </c>
      <c r="T18" s="27">
        <v>9</v>
      </c>
      <c r="U18" s="6">
        <v>0.252</v>
      </c>
      <c r="V18" s="6">
        <v>0.04</v>
      </c>
      <c r="W18" s="22" t="s">
        <v>198</v>
      </c>
    </row>
    <row r="19" spans="1:23" x14ac:dyDescent="0.25">
      <c r="A19" s="7"/>
      <c r="B19" t="s">
        <v>11</v>
      </c>
      <c r="C19" s="15"/>
      <c r="D19" s="19"/>
      <c r="E19" s="19"/>
      <c r="F19" s="17">
        <v>18.95</v>
      </c>
      <c r="G19" s="9">
        <v>0.53100000000000003</v>
      </c>
      <c r="H19" s="9">
        <v>0.44</v>
      </c>
      <c r="I19" s="9" t="s">
        <v>121</v>
      </c>
      <c r="J19" s="15"/>
      <c r="K19" s="19"/>
      <c r="L19" s="19"/>
      <c r="M19" s="15">
        <v>18.25</v>
      </c>
      <c r="N19" s="19">
        <v>0.51099998000000002</v>
      </c>
      <c r="O19" s="9">
        <v>0.01</v>
      </c>
      <c r="P19" s="18" t="s">
        <v>45</v>
      </c>
      <c r="Q19" s="15"/>
      <c r="R19" s="19"/>
      <c r="S19" s="19"/>
      <c r="T19" s="17">
        <v>12.34</v>
      </c>
      <c r="U19" s="37">
        <v>0.34599998999999998</v>
      </c>
      <c r="V19" s="37">
        <v>0.03</v>
      </c>
      <c r="W19" s="18" t="s">
        <v>199</v>
      </c>
    </row>
    <row r="20" spans="1:23" x14ac:dyDescent="0.25">
      <c r="A20" s="7"/>
      <c r="B20" t="s">
        <v>11</v>
      </c>
      <c r="C20" s="15"/>
      <c r="D20" s="19"/>
      <c r="E20" s="19"/>
      <c r="F20" s="17">
        <v>15.95</v>
      </c>
      <c r="G20" s="9">
        <v>0.44700000000000001</v>
      </c>
      <c r="H20" s="9">
        <v>0.47</v>
      </c>
      <c r="I20" s="9" t="s">
        <v>122</v>
      </c>
      <c r="J20" s="15"/>
      <c r="K20" s="19"/>
      <c r="L20" s="19"/>
      <c r="M20" s="15">
        <v>15.97</v>
      </c>
      <c r="N20" s="19">
        <v>0.44700000000000001</v>
      </c>
      <c r="O20" s="9">
        <v>0.01</v>
      </c>
      <c r="P20" s="18" t="s">
        <v>46</v>
      </c>
      <c r="Q20" s="15"/>
      <c r="R20" s="19"/>
      <c r="S20" s="19"/>
      <c r="T20" s="17">
        <v>11.37</v>
      </c>
      <c r="U20" s="37">
        <v>0.31900001</v>
      </c>
      <c r="V20" s="37">
        <v>0.03</v>
      </c>
      <c r="W20" s="18" t="s">
        <v>200</v>
      </c>
    </row>
    <row r="21" spans="1:23" ht="15.75" thickBot="1" x14ac:dyDescent="0.3">
      <c r="A21" s="10"/>
      <c r="B21" s="11" t="s">
        <v>11</v>
      </c>
      <c r="C21" s="16"/>
      <c r="D21" s="12"/>
      <c r="E21" s="12"/>
      <c r="F21" s="28">
        <v>22.13</v>
      </c>
      <c r="G21" s="14">
        <v>0.62</v>
      </c>
      <c r="H21" s="14">
        <v>0.44</v>
      </c>
      <c r="I21" s="14" t="s">
        <v>123</v>
      </c>
      <c r="J21" s="16"/>
      <c r="K21" s="12"/>
      <c r="L21" s="12"/>
      <c r="M21" s="28">
        <v>20.370000999999998</v>
      </c>
      <c r="N21" s="14">
        <v>0.57099997999999996</v>
      </c>
      <c r="O21" s="14">
        <v>0.02</v>
      </c>
      <c r="P21" s="21" t="s">
        <v>47</v>
      </c>
      <c r="Q21" s="16"/>
      <c r="R21" s="12"/>
      <c r="S21" s="12"/>
      <c r="T21" s="28">
        <v>13.34</v>
      </c>
      <c r="U21" s="14">
        <v>0.37400000999999999</v>
      </c>
      <c r="V21" s="14">
        <v>0.03</v>
      </c>
      <c r="W21" s="21" t="s">
        <v>201</v>
      </c>
    </row>
    <row r="22" spans="1:23" x14ac:dyDescent="0.25">
      <c r="A22" s="7">
        <v>17</v>
      </c>
      <c r="B22" t="s">
        <v>12</v>
      </c>
      <c r="C22" s="15">
        <f>AVERAGE(F22:F27)</f>
        <v>11.101666666666668</v>
      </c>
      <c r="D22" s="15">
        <f>AVERAGE(G22:G27)</f>
        <v>0.3085</v>
      </c>
      <c r="E22" s="15">
        <f>AVERAGE(H22:H27)</f>
        <v>0.50666666666666671</v>
      </c>
      <c r="F22" s="17">
        <v>10.99</v>
      </c>
      <c r="G22" s="9">
        <v>0.30499999999999999</v>
      </c>
      <c r="H22" s="9">
        <v>0.42</v>
      </c>
      <c r="I22" s="9" t="s">
        <v>124</v>
      </c>
      <c r="J22" s="15">
        <f>AVERAGE(M22:M27)</f>
        <v>11.631666566666667</v>
      </c>
      <c r="K22" s="15">
        <f>AVERAGE(N22:N27)</f>
        <v>0.323333335</v>
      </c>
      <c r="L22" s="15">
        <f>AVERAGE(O22:O27)</f>
        <v>1.1666666666666667E-2</v>
      </c>
      <c r="M22" s="17">
        <v>9.5699997000000003</v>
      </c>
      <c r="N22" s="9">
        <v>0.26600000000000001</v>
      </c>
      <c r="O22" s="9">
        <v>0.01</v>
      </c>
      <c r="P22" s="18" t="s">
        <v>48</v>
      </c>
      <c r="Q22" s="15">
        <f>AVERAGE(T22:T27)</f>
        <v>2.3783333500000001</v>
      </c>
      <c r="R22" s="15">
        <f>AVERAGE(U22:U27)</f>
        <v>6.5833333833333341E-2</v>
      </c>
      <c r="S22" s="15">
        <f>AVERAGE(V22:V27)</f>
        <v>4.1666666666666664E-2</v>
      </c>
      <c r="T22" s="17">
        <v>2.4300001</v>
      </c>
      <c r="U22" s="37">
        <v>6.7000002000000003E-2</v>
      </c>
      <c r="V22" s="37">
        <v>0.04</v>
      </c>
      <c r="W22" s="18" t="s">
        <v>202</v>
      </c>
    </row>
    <row r="23" spans="1:23" x14ac:dyDescent="0.25">
      <c r="A23" s="7"/>
      <c r="B23" t="s">
        <v>12</v>
      </c>
      <c r="C23" s="15"/>
      <c r="D23" s="19"/>
      <c r="E23" s="19"/>
      <c r="F23" s="17">
        <v>10.89</v>
      </c>
      <c r="G23" s="9">
        <v>0.30299999999999999</v>
      </c>
      <c r="H23" s="9">
        <v>0.44</v>
      </c>
      <c r="I23" s="9" t="s">
        <v>125</v>
      </c>
      <c r="J23" s="15"/>
      <c r="K23" s="19"/>
      <c r="L23" s="19"/>
      <c r="M23" s="17">
        <v>10.08</v>
      </c>
      <c r="N23" s="9">
        <v>0.28000000000000003</v>
      </c>
      <c r="O23" s="9">
        <v>0.02</v>
      </c>
      <c r="P23" s="18" t="s">
        <v>49</v>
      </c>
      <c r="Q23" s="15"/>
      <c r="R23" s="19"/>
      <c r="S23" s="19"/>
      <c r="T23" s="17">
        <v>3.5599999000000002</v>
      </c>
      <c r="U23" s="37">
        <v>9.8999999000000005E-2</v>
      </c>
      <c r="V23" s="37">
        <v>0.03</v>
      </c>
      <c r="W23" s="18" t="s">
        <v>203</v>
      </c>
    </row>
    <row r="24" spans="1:23" x14ac:dyDescent="0.25">
      <c r="A24" s="7"/>
      <c r="B24" t="s">
        <v>12</v>
      </c>
      <c r="C24" s="15"/>
      <c r="D24" s="19"/>
      <c r="E24" s="19"/>
      <c r="F24" s="17">
        <v>11.8</v>
      </c>
      <c r="G24" s="9">
        <v>0.32800000000000001</v>
      </c>
      <c r="H24" s="9">
        <v>0.46</v>
      </c>
      <c r="I24" s="9" t="s">
        <v>126</v>
      </c>
      <c r="J24" s="15"/>
      <c r="K24" s="19"/>
      <c r="L24" s="19"/>
      <c r="M24" s="17">
        <v>13.45</v>
      </c>
      <c r="N24" s="9">
        <v>0.37400000999999999</v>
      </c>
      <c r="O24" s="9">
        <v>0.01</v>
      </c>
      <c r="P24" s="18" t="s">
        <v>50</v>
      </c>
      <c r="Q24" s="15"/>
      <c r="R24" s="19"/>
      <c r="S24" s="19"/>
      <c r="T24" s="17">
        <v>2.95</v>
      </c>
      <c r="U24" s="37">
        <v>8.2000002000000002E-2</v>
      </c>
      <c r="V24" s="37">
        <v>0.06</v>
      </c>
      <c r="W24" s="18" t="s">
        <v>204</v>
      </c>
    </row>
    <row r="25" spans="1:23" x14ac:dyDescent="0.25">
      <c r="A25" s="7"/>
      <c r="B25" t="s">
        <v>12</v>
      </c>
      <c r="C25" s="15"/>
      <c r="D25" s="19"/>
      <c r="E25" s="19"/>
      <c r="F25" s="17">
        <v>11.09</v>
      </c>
      <c r="G25" s="9">
        <v>0.308</v>
      </c>
      <c r="H25" s="9">
        <v>0.5</v>
      </c>
      <c r="I25" s="9" t="s">
        <v>127</v>
      </c>
      <c r="J25" s="15"/>
      <c r="K25" s="19"/>
      <c r="L25" s="19"/>
      <c r="M25" s="17">
        <v>13.56</v>
      </c>
      <c r="N25" s="9">
        <v>0.377</v>
      </c>
      <c r="O25" s="9">
        <v>0.01</v>
      </c>
      <c r="P25" s="18" t="s">
        <v>51</v>
      </c>
      <c r="Q25" s="15"/>
      <c r="R25" s="19"/>
      <c r="S25" s="19"/>
      <c r="T25" s="17">
        <v>1.45</v>
      </c>
      <c r="U25" s="37">
        <v>3.9999999000000001E-2</v>
      </c>
      <c r="V25" s="37">
        <v>0.04</v>
      </c>
      <c r="W25" s="18" t="s">
        <v>205</v>
      </c>
    </row>
    <row r="26" spans="1:23" x14ac:dyDescent="0.25">
      <c r="A26" s="7"/>
      <c r="B26" t="s">
        <v>12</v>
      </c>
      <c r="C26" s="15"/>
      <c r="D26" s="19"/>
      <c r="E26" s="19"/>
      <c r="F26" s="17">
        <v>11.09</v>
      </c>
      <c r="G26" s="9">
        <v>0.308</v>
      </c>
      <c r="H26" s="9">
        <v>0.55000000000000004</v>
      </c>
      <c r="I26" s="9" t="s">
        <v>127</v>
      </c>
      <c r="J26" s="15"/>
      <c r="K26" s="19"/>
      <c r="L26" s="19"/>
      <c r="M26" s="17">
        <v>13.56</v>
      </c>
      <c r="N26" s="9">
        <v>0.377</v>
      </c>
      <c r="O26" s="9">
        <v>0.01</v>
      </c>
      <c r="P26" s="18" t="s">
        <v>51</v>
      </c>
      <c r="Q26" s="15"/>
      <c r="R26" s="19"/>
      <c r="S26" s="19"/>
      <c r="T26" s="17">
        <v>1.45</v>
      </c>
      <c r="U26" s="37">
        <v>3.9999999000000001E-2</v>
      </c>
      <c r="V26" s="37">
        <v>0.04</v>
      </c>
      <c r="W26" s="18" t="s">
        <v>205</v>
      </c>
    </row>
    <row r="27" spans="1:23" ht="15.75" thickBot="1" x14ac:dyDescent="0.3">
      <c r="A27" s="7"/>
      <c r="B27" t="s">
        <v>12</v>
      </c>
      <c r="C27" s="16"/>
      <c r="D27" s="12"/>
      <c r="E27" s="12"/>
      <c r="F27" s="17">
        <v>10.75</v>
      </c>
      <c r="G27" s="9">
        <v>0.29899999999999999</v>
      </c>
      <c r="H27" s="9">
        <v>0.67</v>
      </c>
      <c r="I27" s="9" t="s">
        <v>128</v>
      </c>
      <c r="J27" s="16"/>
      <c r="K27" s="12"/>
      <c r="L27" s="12"/>
      <c r="M27" s="17">
        <v>9.5699997000000003</v>
      </c>
      <c r="N27" s="9">
        <v>0.26600000000000001</v>
      </c>
      <c r="O27" s="9">
        <v>0.01</v>
      </c>
      <c r="P27" s="18" t="s">
        <v>48</v>
      </c>
      <c r="Q27" s="16"/>
      <c r="R27" s="12"/>
      <c r="S27" s="12"/>
      <c r="T27" s="17">
        <v>2.4300001</v>
      </c>
      <c r="U27" s="37">
        <v>6.7000002000000003E-2</v>
      </c>
      <c r="V27" s="37">
        <v>0.04</v>
      </c>
      <c r="W27" s="18" t="s">
        <v>202</v>
      </c>
    </row>
    <row r="28" spans="1:23" x14ac:dyDescent="0.25">
      <c r="A28" s="1">
        <v>18</v>
      </c>
      <c r="B28" s="2" t="s">
        <v>13</v>
      </c>
      <c r="C28" s="3">
        <f>AVERAGE(F28:F31)</f>
        <v>14.68</v>
      </c>
      <c r="D28" s="3">
        <f>AVERAGE(G28:G31)</f>
        <v>0.65675000000000006</v>
      </c>
      <c r="E28" s="3">
        <f>AVERAGE(H28:H31)</f>
        <v>0.48249999999999998</v>
      </c>
      <c r="F28" s="27">
        <v>13.85</v>
      </c>
      <c r="G28" s="6">
        <v>0.62</v>
      </c>
      <c r="H28" s="6">
        <v>0.59</v>
      </c>
      <c r="I28" s="6" t="s">
        <v>129</v>
      </c>
      <c r="J28" s="3">
        <f>AVERAGE(M28:M31)</f>
        <v>13.237500000000001</v>
      </c>
      <c r="K28" s="3">
        <f>AVERAGE(N28:N31)</f>
        <v>0.59224999749999996</v>
      </c>
      <c r="L28" s="3">
        <f>AVERAGE(O28:O31)</f>
        <v>1.2500000000000001E-2</v>
      </c>
      <c r="M28" s="3">
        <v>12.84</v>
      </c>
      <c r="N28" s="5">
        <v>0.57499999000000002</v>
      </c>
      <c r="O28" s="6">
        <v>0.01</v>
      </c>
      <c r="P28" s="22" t="s">
        <v>52</v>
      </c>
      <c r="Q28" s="3">
        <f>AVERAGE(T28:T31)</f>
        <v>6.2874999249999997</v>
      </c>
      <c r="R28" s="3">
        <f>AVERAGE(U28:U31)</f>
        <v>0.28124999499999997</v>
      </c>
      <c r="S28" s="3">
        <f>AVERAGE(V28:V31)</f>
        <v>3.7499999999999999E-2</v>
      </c>
      <c r="T28" s="27">
        <v>5.9499997999999996</v>
      </c>
      <c r="U28" s="6">
        <v>0.26600000000000001</v>
      </c>
      <c r="V28" s="6">
        <v>0.04</v>
      </c>
      <c r="W28" s="22" t="s">
        <v>206</v>
      </c>
    </row>
    <row r="29" spans="1:23" x14ac:dyDescent="0.25">
      <c r="A29" s="7"/>
      <c r="B29" t="s">
        <v>13</v>
      </c>
      <c r="C29" s="15"/>
      <c r="D29" s="19"/>
      <c r="E29" s="19"/>
      <c r="F29" s="17">
        <v>11.74</v>
      </c>
      <c r="G29" s="9">
        <v>0.52500000000000002</v>
      </c>
      <c r="H29" s="9">
        <v>0.47</v>
      </c>
      <c r="I29" s="9" t="s">
        <v>130</v>
      </c>
      <c r="J29" s="15"/>
      <c r="K29" s="19"/>
      <c r="L29" s="19"/>
      <c r="M29" s="15">
        <v>11.04</v>
      </c>
      <c r="N29" s="19">
        <v>0.49399999</v>
      </c>
      <c r="O29" s="9">
        <v>0.02</v>
      </c>
      <c r="P29" s="18" t="s">
        <v>53</v>
      </c>
      <c r="Q29" s="15"/>
      <c r="R29" s="19"/>
      <c r="S29" s="19"/>
      <c r="T29" s="17">
        <v>4.79</v>
      </c>
      <c r="U29" s="37">
        <v>0.214</v>
      </c>
      <c r="V29" s="37">
        <v>0.04</v>
      </c>
      <c r="W29" s="18" t="s">
        <v>207</v>
      </c>
    </row>
    <row r="30" spans="1:23" x14ac:dyDescent="0.25">
      <c r="A30" s="7"/>
      <c r="B30" t="s">
        <v>13</v>
      </c>
      <c r="C30" s="15"/>
      <c r="D30" s="19"/>
      <c r="E30" s="19"/>
      <c r="F30" s="17">
        <v>18.2</v>
      </c>
      <c r="G30" s="9">
        <v>0.81399999999999995</v>
      </c>
      <c r="H30" s="9">
        <v>0.44</v>
      </c>
      <c r="I30" s="9" t="s">
        <v>131</v>
      </c>
      <c r="J30" s="15"/>
      <c r="K30" s="19"/>
      <c r="L30" s="19"/>
      <c r="M30" s="15">
        <v>15.76</v>
      </c>
      <c r="N30" s="19">
        <v>0.70499997999999997</v>
      </c>
      <c r="O30" s="9">
        <v>0.01</v>
      </c>
      <c r="P30" s="18" t="s">
        <v>54</v>
      </c>
      <c r="Q30" s="15"/>
      <c r="R30" s="19"/>
      <c r="S30" s="19"/>
      <c r="T30" s="17">
        <v>7.77</v>
      </c>
      <c r="U30" s="37">
        <v>0.34799998999999998</v>
      </c>
      <c r="V30" s="37">
        <v>0.04</v>
      </c>
      <c r="W30" s="18" t="s">
        <v>208</v>
      </c>
    </row>
    <row r="31" spans="1:23" ht="15.75" thickBot="1" x14ac:dyDescent="0.3">
      <c r="A31" s="10"/>
      <c r="B31" s="11" t="s">
        <v>13</v>
      </c>
      <c r="C31" s="16"/>
      <c r="D31" s="12"/>
      <c r="E31" s="12"/>
      <c r="F31" s="28">
        <v>14.93</v>
      </c>
      <c r="G31" s="14">
        <v>0.66800000000000004</v>
      </c>
      <c r="H31" s="14">
        <v>0.43</v>
      </c>
      <c r="I31" s="14" t="s">
        <v>132</v>
      </c>
      <c r="J31" s="16"/>
      <c r="K31" s="12"/>
      <c r="L31" s="12"/>
      <c r="M31" s="16">
        <v>13.31</v>
      </c>
      <c r="N31" s="12">
        <v>0.59500003000000001</v>
      </c>
      <c r="O31" s="14">
        <v>0.01</v>
      </c>
      <c r="P31" s="21" t="s">
        <v>55</v>
      </c>
      <c r="Q31" s="16"/>
      <c r="R31" s="12"/>
      <c r="S31" s="12"/>
      <c r="T31" s="28">
        <v>6.6399999000000003</v>
      </c>
      <c r="U31" s="14">
        <v>0.29699998999999999</v>
      </c>
      <c r="V31" s="14">
        <v>0.03</v>
      </c>
      <c r="W31" s="21" t="s">
        <v>209</v>
      </c>
    </row>
    <row r="32" spans="1:23" x14ac:dyDescent="0.25">
      <c r="A32" s="7">
        <v>19</v>
      </c>
      <c r="B32" t="s">
        <v>14</v>
      </c>
      <c r="C32" s="15">
        <f>AVERAGE(F32:F34)</f>
        <v>6.2133333333333338</v>
      </c>
      <c r="D32" s="15">
        <f>AVERAGE(G32:G34)</f>
        <v>0.27733333333333338</v>
      </c>
      <c r="E32" s="15">
        <f>AVERAGE(H32:H34)</f>
        <v>0.57333333333333336</v>
      </c>
      <c r="F32" s="17">
        <v>4.71</v>
      </c>
      <c r="G32" s="9">
        <v>0.21</v>
      </c>
      <c r="H32" s="9">
        <v>0.6</v>
      </c>
      <c r="I32" s="9" t="s">
        <v>133</v>
      </c>
      <c r="J32" s="15">
        <f>AVERAGE(M32:M34)</f>
        <v>6.1999999666666668</v>
      </c>
      <c r="K32" s="15">
        <f>AVERAGE(N32:N34)</f>
        <v>0.27666666333333334</v>
      </c>
      <c r="L32" s="15">
        <f>AVERAGE(O32:O34)</f>
        <v>1.3333333333333334E-2</v>
      </c>
      <c r="M32" s="15">
        <v>6.73</v>
      </c>
      <c r="N32" s="19">
        <v>0.30000000999999998</v>
      </c>
      <c r="O32" s="9">
        <v>0.01</v>
      </c>
      <c r="P32" s="18" t="s">
        <v>56</v>
      </c>
      <c r="Q32" s="15">
        <f>AVERAGE(T32:T34)</f>
        <v>3.2833333000000002</v>
      </c>
      <c r="R32" s="15">
        <f>AVERAGE(U32:U34)</f>
        <v>0.14633333333333332</v>
      </c>
      <c r="S32" s="15">
        <f>AVERAGE(V32:V34)</f>
        <v>0.04</v>
      </c>
      <c r="T32" s="17">
        <v>2.54</v>
      </c>
      <c r="U32" s="37">
        <v>0.113</v>
      </c>
      <c r="V32" s="37">
        <v>0.04</v>
      </c>
      <c r="W32" s="18" t="s">
        <v>210</v>
      </c>
    </row>
    <row r="33" spans="1:23" x14ac:dyDescent="0.25">
      <c r="A33" s="7"/>
      <c r="B33" t="s">
        <v>14</v>
      </c>
      <c r="C33" s="15"/>
      <c r="D33" s="19"/>
      <c r="E33" s="19"/>
      <c r="F33" s="17">
        <v>7.03</v>
      </c>
      <c r="G33" s="9">
        <v>0.314</v>
      </c>
      <c r="H33" s="9">
        <v>0.56999999999999995</v>
      </c>
      <c r="I33" s="9" t="s">
        <v>134</v>
      </c>
      <c r="J33" s="15"/>
      <c r="K33" s="19"/>
      <c r="L33" s="19"/>
      <c r="M33" s="15">
        <v>7.1700001000000002</v>
      </c>
      <c r="N33" s="19">
        <v>0.31999999000000001</v>
      </c>
      <c r="O33" s="9">
        <v>0.01</v>
      </c>
      <c r="P33" s="18" t="s">
        <v>57</v>
      </c>
      <c r="Q33" s="15"/>
      <c r="R33" s="19"/>
      <c r="S33" s="19"/>
      <c r="T33" s="17">
        <v>2.6500001000000002</v>
      </c>
      <c r="U33" s="37">
        <v>0.11799999999999999</v>
      </c>
      <c r="V33" s="37">
        <v>0.04</v>
      </c>
      <c r="W33" s="18" t="s">
        <v>211</v>
      </c>
    </row>
    <row r="34" spans="1:23" ht="15.75" thickBot="1" x14ac:dyDescent="0.3">
      <c r="A34" s="7"/>
      <c r="B34" t="s">
        <v>14</v>
      </c>
      <c r="C34" s="15"/>
      <c r="D34" s="19"/>
      <c r="E34" s="19"/>
      <c r="F34" s="17">
        <v>6.9</v>
      </c>
      <c r="G34" s="9">
        <v>0.308</v>
      </c>
      <c r="H34" s="9">
        <v>0.55000000000000004</v>
      </c>
      <c r="I34" s="9" t="s">
        <v>135</v>
      </c>
      <c r="J34" s="15"/>
      <c r="K34" s="19"/>
      <c r="L34" s="19"/>
      <c r="M34" s="15">
        <v>4.6999997999999996</v>
      </c>
      <c r="N34" s="19">
        <v>0.20999999</v>
      </c>
      <c r="O34" s="9">
        <v>0.02</v>
      </c>
      <c r="P34" s="18" t="s">
        <v>58</v>
      </c>
      <c r="Q34" s="15"/>
      <c r="R34" s="19"/>
      <c r="S34" s="19"/>
      <c r="T34" s="17">
        <v>4.6599997999999996</v>
      </c>
      <c r="U34" s="37">
        <v>0.20799999999999999</v>
      </c>
      <c r="V34" s="37">
        <v>0.04</v>
      </c>
      <c r="W34" s="18" t="s">
        <v>212</v>
      </c>
    </row>
    <row r="35" spans="1:23" x14ac:dyDescent="0.25">
      <c r="A35" s="1">
        <v>20</v>
      </c>
      <c r="B35" s="2" t="s">
        <v>15</v>
      </c>
      <c r="C35" s="3">
        <f>AVERAGE(F35:F39)</f>
        <v>10.957999999999998</v>
      </c>
      <c r="D35" s="3">
        <f>AVERAGE(G35:G39)</f>
        <v>0.69340000000000002</v>
      </c>
      <c r="E35" s="3">
        <f>AVERAGE(H35:H39)</f>
        <v>0.58199999999999996</v>
      </c>
      <c r="F35" s="27">
        <v>9.36</v>
      </c>
      <c r="G35" s="6">
        <v>0.59199999999999997</v>
      </c>
      <c r="H35" s="6">
        <v>0.75</v>
      </c>
      <c r="I35" s="6" t="s">
        <v>136</v>
      </c>
      <c r="J35" s="3">
        <f>AVERAGE(M35:M39)</f>
        <v>9.9039999999999999</v>
      </c>
      <c r="K35" s="3">
        <f>AVERAGE(N35:N39)</f>
        <v>0.62680000599999997</v>
      </c>
      <c r="L35" s="3">
        <f>AVERAGE(O35:O39)</f>
        <v>0.02</v>
      </c>
      <c r="M35" s="3">
        <v>8.9899997999999997</v>
      </c>
      <c r="N35" s="5">
        <v>0.56900001</v>
      </c>
      <c r="O35" s="6">
        <v>0.02</v>
      </c>
      <c r="P35" s="22" t="s">
        <v>59</v>
      </c>
      <c r="Q35" s="3">
        <f>AVERAGE(T35:T39)</f>
        <v>3.5440000199999999</v>
      </c>
      <c r="R35" s="3">
        <f>AVERAGE(U35:U39)</f>
        <v>0.22419999399999999</v>
      </c>
      <c r="S35" s="3">
        <f>AVERAGE(V35:V39)</f>
        <v>0.04</v>
      </c>
      <c r="T35" s="27">
        <v>2.5299999999999998</v>
      </c>
      <c r="U35" s="6">
        <v>0.16</v>
      </c>
      <c r="V35" s="6">
        <v>0.04</v>
      </c>
      <c r="W35" s="22" t="s">
        <v>213</v>
      </c>
    </row>
    <row r="36" spans="1:23" x14ac:dyDescent="0.25">
      <c r="A36" s="7"/>
      <c r="B36" t="s">
        <v>15</v>
      </c>
      <c r="C36" s="15"/>
      <c r="D36" s="19"/>
      <c r="E36" s="19"/>
      <c r="F36" s="17">
        <v>8.58</v>
      </c>
      <c r="G36" s="9">
        <v>0.54300000000000004</v>
      </c>
      <c r="H36" s="9">
        <v>0.6</v>
      </c>
      <c r="I36" s="9" t="s">
        <v>137</v>
      </c>
      <c r="J36" s="15"/>
      <c r="K36" s="19"/>
      <c r="L36" s="19"/>
      <c r="M36" s="15">
        <v>7.8000002000000004</v>
      </c>
      <c r="N36" s="19">
        <v>0.49299999999999999</v>
      </c>
      <c r="O36" s="9">
        <v>0.02</v>
      </c>
      <c r="P36" s="18" t="s">
        <v>60</v>
      </c>
      <c r="Q36" s="15"/>
      <c r="R36" s="19"/>
      <c r="S36" s="19"/>
      <c r="T36" s="17">
        <v>2.9400000999999998</v>
      </c>
      <c r="U36" s="37">
        <v>0.186</v>
      </c>
      <c r="V36" s="37">
        <v>0.04</v>
      </c>
      <c r="W36" s="18" t="s">
        <v>214</v>
      </c>
    </row>
    <row r="37" spans="1:23" x14ac:dyDescent="0.25">
      <c r="A37" s="7"/>
      <c r="B37" t="s">
        <v>15</v>
      </c>
      <c r="C37" s="15"/>
      <c r="D37" s="19"/>
      <c r="E37" s="19"/>
      <c r="F37" s="17">
        <v>11.76</v>
      </c>
      <c r="G37" s="9">
        <v>0.74399999999999999</v>
      </c>
      <c r="H37" s="9">
        <v>0.48</v>
      </c>
      <c r="I37" s="9" t="s">
        <v>138</v>
      </c>
      <c r="J37" s="15"/>
      <c r="K37" s="19"/>
      <c r="L37" s="19"/>
      <c r="M37" s="15">
        <v>10.67</v>
      </c>
      <c r="N37" s="19">
        <v>0.67600000000000005</v>
      </c>
      <c r="O37" s="9">
        <v>0.02</v>
      </c>
      <c r="P37" s="18" t="s">
        <v>61</v>
      </c>
      <c r="Q37" s="15"/>
      <c r="R37" s="19"/>
      <c r="S37" s="19"/>
      <c r="T37" s="17">
        <v>4.9099997999999996</v>
      </c>
      <c r="U37" s="37">
        <v>0.31099999</v>
      </c>
      <c r="V37" s="37">
        <v>0.04</v>
      </c>
      <c r="W37" s="18" t="s">
        <v>215</v>
      </c>
    </row>
    <row r="38" spans="1:23" x14ac:dyDescent="0.25">
      <c r="A38" s="7"/>
      <c r="B38" t="s">
        <v>15</v>
      </c>
      <c r="C38" s="15"/>
      <c r="D38" s="19"/>
      <c r="E38" s="19"/>
      <c r="F38" s="17">
        <v>12.54</v>
      </c>
      <c r="G38" s="9">
        <v>0.79400000000000004</v>
      </c>
      <c r="H38" s="9">
        <v>0.51</v>
      </c>
      <c r="I38" s="9" t="s">
        <v>139</v>
      </c>
      <c r="J38" s="15"/>
      <c r="K38" s="19"/>
      <c r="L38" s="19"/>
      <c r="M38" s="15">
        <v>11.03</v>
      </c>
      <c r="N38" s="19">
        <v>0.69800001</v>
      </c>
      <c r="O38" s="9">
        <v>0.02</v>
      </c>
      <c r="P38" s="18" t="s">
        <v>62</v>
      </c>
      <c r="Q38" s="15"/>
      <c r="R38" s="19"/>
      <c r="S38" s="19"/>
      <c r="T38" s="17">
        <v>3.6700001000000002</v>
      </c>
      <c r="U38" s="37">
        <v>0.23199998999999999</v>
      </c>
      <c r="V38" s="37">
        <v>0.04</v>
      </c>
      <c r="W38" s="18" t="s">
        <v>216</v>
      </c>
    </row>
    <row r="39" spans="1:23" ht="15.75" thickBot="1" x14ac:dyDescent="0.3">
      <c r="A39" s="10"/>
      <c r="B39" s="11" t="s">
        <v>15</v>
      </c>
      <c r="C39" s="16"/>
      <c r="D39" s="12"/>
      <c r="E39" s="12"/>
      <c r="F39" s="28">
        <v>12.55</v>
      </c>
      <c r="G39" s="14">
        <v>0.79400000000000004</v>
      </c>
      <c r="H39" s="14">
        <v>0.56999999999999995</v>
      </c>
      <c r="I39" s="14" t="s">
        <v>139</v>
      </c>
      <c r="J39" s="16"/>
      <c r="K39" s="12"/>
      <c r="L39" s="12"/>
      <c r="M39" s="16">
        <v>11.03</v>
      </c>
      <c r="N39" s="12">
        <v>0.69800001</v>
      </c>
      <c r="O39" s="14">
        <v>0.02</v>
      </c>
      <c r="P39" s="21" t="s">
        <v>62</v>
      </c>
      <c r="Q39" s="16"/>
      <c r="R39" s="12"/>
      <c r="S39" s="12"/>
      <c r="T39" s="28">
        <v>3.6700001000000002</v>
      </c>
      <c r="U39" s="14">
        <v>0.23199998999999999</v>
      </c>
      <c r="V39" s="14">
        <v>0.04</v>
      </c>
      <c r="W39" s="21" t="s">
        <v>216</v>
      </c>
    </row>
    <row r="40" spans="1:23" x14ac:dyDescent="0.25">
      <c r="A40" s="7">
        <v>21</v>
      </c>
      <c r="B40" t="s">
        <v>16</v>
      </c>
      <c r="C40" s="15">
        <f>AVERAGE(F40:F42)</f>
        <v>5.0233333333333334</v>
      </c>
      <c r="D40" s="15">
        <f>AVERAGE(G40:G42)</f>
        <v>0.317</v>
      </c>
      <c r="E40" s="15">
        <f>AVERAGE(H40:H42)</f>
        <v>0.46333333333333332</v>
      </c>
      <c r="F40" s="17">
        <v>5.27</v>
      </c>
      <c r="G40" s="9">
        <v>0.33300000000000002</v>
      </c>
      <c r="H40" s="9">
        <v>0.51</v>
      </c>
      <c r="I40" s="9" t="s">
        <v>140</v>
      </c>
      <c r="J40" s="15">
        <f>AVERAGE(M40:M42)</f>
        <v>6.9899999333333334</v>
      </c>
      <c r="K40" s="15">
        <f>AVERAGE(N40:N42)</f>
        <v>0.44166666333333332</v>
      </c>
      <c r="L40" s="15">
        <f>AVERAGE(O40:O42)</f>
        <v>0.02</v>
      </c>
      <c r="M40" s="15">
        <v>5.77</v>
      </c>
      <c r="N40" s="19">
        <v>0.36500000999999999</v>
      </c>
      <c r="O40" s="9">
        <v>0.02</v>
      </c>
      <c r="P40" s="18" t="s">
        <v>63</v>
      </c>
      <c r="Q40" s="15">
        <f>AVERAGE(T40:T42)</f>
        <v>3.3633332333333334</v>
      </c>
      <c r="R40" s="15">
        <f>AVERAGE(U40:U42)</f>
        <v>0.21266666666666667</v>
      </c>
      <c r="S40" s="15">
        <f>AVERAGE(V40:V42)</f>
        <v>0.04</v>
      </c>
      <c r="T40" s="17">
        <v>3.8699998999999998</v>
      </c>
      <c r="U40" s="37">
        <v>0.24399999999999999</v>
      </c>
      <c r="V40" s="37">
        <v>0.04</v>
      </c>
      <c r="W40" s="18" t="s">
        <v>217</v>
      </c>
    </row>
    <row r="41" spans="1:23" x14ac:dyDescent="0.25">
      <c r="A41" s="7"/>
      <c r="B41" t="s">
        <v>16</v>
      </c>
      <c r="C41" s="15"/>
      <c r="D41" s="19"/>
      <c r="E41" s="19"/>
      <c r="F41" s="17">
        <v>4.9000000000000004</v>
      </c>
      <c r="G41" s="9">
        <v>0.309</v>
      </c>
      <c r="H41" s="9">
        <v>0.44</v>
      </c>
      <c r="I41" s="9" t="s">
        <v>141</v>
      </c>
      <c r="J41" s="15"/>
      <c r="K41" s="19"/>
      <c r="L41" s="19"/>
      <c r="M41" s="15">
        <v>7.5999999000000003</v>
      </c>
      <c r="N41" s="19">
        <v>0.47999998999999999</v>
      </c>
      <c r="O41" s="9">
        <v>0.02</v>
      </c>
      <c r="P41" s="18" t="s">
        <v>64</v>
      </c>
      <c r="Q41" s="15"/>
      <c r="R41" s="19"/>
      <c r="S41" s="19"/>
      <c r="T41" s="17">
        <v>3.1099999</v>
      </c>
      <c r="U41" s="37">
        <v>0.19700000000000001</v>
      </c>
      <c r="V41" s="37">
        <v>0.04</v>
      </c>
      <c r="W41" s="18" t="s">
        <v>218</v>
      </c>
    </row>
    <row r="42" spans="1:23" ht="15.75" thickBot="1" x14ac:dyDescent="0.3">
      <c r="A42" s="7"/>
      <c r="B42" t="s">
        <v>16</v>
      </c>
      <c r="C42" s="15"/>
      <c r="D42" s="19"/>
      <c r="E42" s="19"/>
      <c r="F42" s="17">
        <v>4.9000000000000004</v>
      </c>
      <c r="G42" s="9">
        <v>0.309</v>
      </c>
      <c r="H42" s="9">
        <v>0.44</v>
      </c>
      <c r="I42" s="9" t="s">
        <v>141</v>
      </c>
      <c r="J42" s="15"/>
      <c r="K42" s="19"/>
      <c r="L42" s="19"/>
      <c r="M42" s="15">
        <v>7.5999999000000003</v>
      </c>
      <c r="N42" s="19">
        <v>0.47999998999999999</v>
      </c>
      <c r="O42" s="9">
        <v>0.02</v>
      </c>
      <c r="P42" s="18" t="s">
        <v>64</v>
      </c>
      <c r="Q42" s="15"/>
      <c r="R42" s="19"/>
      <c r="S42" s="19"/>
      <c r="T42" s="17">
        <v>3.1099999</v>
      </c>
      <c r="U42" s="37">
        <v>0.19700000000000001</v>
      </c>
      <c r="V42" s="37">
        <v>0.04</v>
      </c>
      <c r="W42" s="18" t="s">
        <v>218</v>
      </c>
    </row>
    <row r="43" spans="1:23" x14ac:dyDescent="0.25">
      <c r="A43" s="1">
        <v>23</v>
      </c>
      <c r="B43" s="2" t="s">
        <v>17</v>
      </c>
      <c r="C43" s="3">
        <f>AVERAGE(F43:F45)</f>
        <v>8.2166666666666668</v>
      </c>
      <c r="D43" s="3">
        <f>AVERAGE(G43:G45)</f>
        <v>0.83466666666666667</v>
      </c>
      <c r="E43" s="3">
        <f>AVERAGE(H43:H45)</f>
        <v>0.48333333333333339</v>
      </c>
      <c r="F43" s="27">
        <v>8.4499999999999993</v>
      </c>
      <c r="G43" s="6">
        <v>0.85899999999999999</v>
      </c>
      <c r="H43" s="6">
        <v>0.46</v>
      </c>
      <c r="I43" s="6" t="s">
        <v>142</v>
      </c>
      <c r="J43" s="3">
        <f>AVERAGE(M43:M45)</f>
        <v>9.0966663000000008</v>
      </c>
      <c r="K43" s="3">
        <f>AVERAGE(N43:N45)</f>
        <v>0.92466666333333336</v>
      </c>
      <c r="L43" s="3">
        <f>AVERAGE(O43:O45)</f>
        <v>0.02</v>
      </c>
      <c r="M43" s="3">
        <v>8.9799994999999999</v>
      </c>
      <c r="N43" s="5">
        <v>0.91299998999999998</v>
      </c>
      <c r="O43" s="6">
        <v>0.02</v>
      </c>
      <c r="P43" s="22" t="s">
        <v>65</v>
      </c>
      <c r="Q43" s="3">
        <f>AVERAGE(T43:T45)</f>
        <v>2.8299999999999996</v>
      </c>
      <c r="R43" s="3">
        <f>AVERAGE(U43:U45)</f>
        <v>0.28766666666666668</v>
      </c>
      <c r="S43" s="3">
        <f>AVERAGE(V43:V45)</f>
        <v>0.04</v>
      </c>
      <c r="T43" s="27">
        <v>3.55</v>
      </c>
      <c r="U43" s="6">
        <v>0.36099999999999999</v>
      </c>
      <c r="V43" s="6">
        <v>0.04</v>
      </c>
      <c r="W43" s="22" t="s">
        <v>219</v>
      </c>
    </row>
    <row r="44" spans="1:23" x14ac:dyDescent="0.25">
      <c r="A44" s="7"/>
      <c r="B44" t="s">
        <v>17</v>
      </c>
      <c r="C44" s="15"/>
      <c r="D44" s="19"/>
      <c r="E44" s="19"/>
      <c r="F44" s="17">
        <v>7.9</v>
      </c>
      <c r="G44" s="9">
        <v>0.80200000000000005</v>
      </c>
      <c r="H44" s="9">
        <v>0.46</v>
      </c>
      <c r="I44" s="9" t="s">
        <v>143</v>
      </c>
      <c r="J44" s="15"/>
      <c r="K44" s="19"/>
      <c r="L44" s="19"/>
      <c r="M44" s="15">
        <v>9.3299999000000007</v>
      </c>
      <c r="N44" s="19">
        <v>0.94800001</v>
      </c>
      <c r="O44" s="9">
        <v>0.02</v>
      </c>
      <c r="P44" s="18" t="s">
        <v>66</v>
      </c>
      <c r="Q44" s="15"/>
      <c r="R44" s="19"/>
      <c r="S44" s="19"/>
      <c r="T44" s="17">
        <v>1.39</v>
      </c>
      <c r="U44" s="37">
        <v>0.14099999999999999</v>
      </c>
      <c r="V44" s="37">
        <v>0.04</v>
      </c>
      <c r="W44" s="18" t="s">
        <v>220</v>
      </c>
    </row>
    <row r="45" spans="1:23" ht="15.75" thickBot="1" x14ac:dyDescent="0.3">
      <c r="A45" s="10"/>
      <c r="B45" s="11" t="s">
        <v>17</v>
      </c>
      <c r="C45" s="16"/>
      <c r="D45" s="12"/>
      <c r="E45" s="12"/>
      <c r="F45" s="28">
        <v>8.3000000000000007</v>
      </c>
      <c r="G45" s="14">
        <v>0.84299999999999997</v>
      </c>
      <c r="H45" s="14">
        <v>0.53</v>
      </c>
      <c r="I45" s="14" t="s">
        <v>144</v>
      </c>
      <c r="J45" s="16"/>
      <c r="K45" s="12"/>
      <c r="L45" s="12"/>
      <c r="M45" s="16">
        <v>8.9799994999999999</v>
      </c>
      <c r="N45" s="12">
        <v>0.91299998999999998</v>
      </c>
      <c r="O45" s="14">
        <v>0.02</v>
      </c>
      <c r="P45" s="21" t="s">
        <v>65</v>
      </c>
      <c r="Q45" s="16"/>
      <c r="R45" s="12"/>
      <c r="S45" s="12"/>
      <c r="T45" s="28">
        <v>3.55</v>
      </c>
      <c r="U45" s="14">
        <v>0.36099999999999999</v>
      </c>
      <c r="V45" s="14">
        <v>0.04</v>
      </c>
      <c r="W45" s="21" t="s">
        <v>219</v>
      </c>
    </row>
    <row r="46" spans="1:23" x14ac:dyDescent="0.25">
      <c r="A46" s="7">
        <v>24</v>
      </c>
      <c r="B46" t="s">
        <v>18</v>
      </c>
      <c r="C46" s="15">
        <f>AVERAGE(F46:F50)</f>
        <v>4.8040000000000003</v>
      </c>
      <c r="D46" s="15">
        <f>AVERAGE(G46:G50)</f>
        <v>0.48760000000000003</v>
      </c>
      <c r="E46" s="15">
        <f>AVERAGE(H46:H50)</f>
        <v>0.504</v>
      </c>
      <c r="F46" s="17">
        <v>3.09</v>
      </c>
      <c r="G46" s="9">
        <v>0.313</v>
      </c>
      <c r="H46" s="9">
        <v>0.44</v>
      </c>
      <c r="I46" s="9" t="s">
        <v>145</v>
      </c>
      <c r="J46" s="15">
        <f>AVERAGE(M46:M50)</f>
        <v>7.1740000800000008</v>
      </c>
      <c r="K46" s="15">
        <f>AVERAGE(N46:N50)</f>
        <v>0.72880000000000011</v>
      </c>
      <c r="L46" s="15">
        <f>AVERAGE(O46:O50)</f>
        <v>2.1999999999999999E-2</v>
      </c>
      <c r="M46" s="15">
        <v>7.04</v>
      </c>
      <c r="N46" s="19">
        <v>0.71499997000000004</v>
      </c>
      <c r="O46" s="9">
        <v>0.02</v>
      </c>
      <c r="P46" s="18" t="s">
        <v>67</v>
      </c>
      <c r="Q46" s="15">
        <f>AVERAGE(T46:T50)</f>
        <v>5.0999999399999991</v>
      </c>
      <c r="R46" s="15">
        <f>AVERAGE(U46:U50)</f>
        <v>0.51820000399999999</v>
      </c>
      <c r="S46" s="15">
        <f>AVERAGE(V46:V50)</f>
        <v>0.04</v>
      </c>
      <c r="T46" s="17">
        <v>3.1600001</v>
      </c>
      <c r="U46" s="37">
        <v>0.32100001</v>
      </c>
      <c r="V46" s="37">
        <v>0.04</v>
      </c>
      <c r="W46" s="18" t="s">
        <v>221</v>
      </c>
    </row>
    <row r="47" spans="1:23" x14ac:dyDescent="0.25">
      <c r="A47" s="7"/>
      <c r="B47" t="s">
        <v>18</v>
      </c>
      <c r="C47" s="15"/>
      <c r="D47" s="19"/>
      <c r="E47" s="19"/>
      <c r="F47" s="17">
        <v>4.78</v>
      </c>
      <c r="G47" s="9">
        <v>0.48499999999999999</v>
      </c>
      <c r="H47" s="9">
        <v>0.72</v>
      </c>
      <c r="I47" s="9" t="s">
        <v>146</v>
      </c>
      <c r="J47" s="15"/>
      <c r="K47" s="19"/>
      <c r="L47" s="19"/>
      <c r="M47" s="15">
        <v>6.1900000999999998</v>
      </c>
      <c r="N47" s="19">
        <v>0.62900001000000005</v>
      </c>
      <c r="O47" s="9">
        <v>0.02</v>
      </c>
      <c r="P47" s="18" t="s">
        <v>68</v>
      </c>
      <c r="Q47" s="15"/>
      <c r="R47" s="19"/>
      <c r="S47" s="19"/>
      <c r="T47" s="17">
        <v>5.4299998</v>
      </c>
      <c r="U47" s="37">
        <v>0.55199999</v>
      </c>
      <c r="V47" s="37">
        <v>0.04</v>
      </c>
      <c r="W47" s="18" t="s">
        <v>222</v>
      </c>
    </row>
    <row r="48" spans="1:23" x14ac:dyDescent="0.25">
      <c r="A48" s="7"/>
      <c r="B48" t="s">
        <v>18</v>
      </c>
      <c r="C48" s="15"/>
      <c r="D48" s="19"/>
      <c r="E48" s="19"/>
      <c r="F48" s="17">
        <v>5.66</v>
      </c>
      <c r="G48" s="9">
        <v>0.57499999999999996</v>
      </c>
      <c r="H48" s="9">
        <v>0.45</v>
      </c>
      <c r="I48" s="9" t="s">
        <v>147</v>
      </c>
      <c r="J48" s="15"/>
      <c r="K48" s="19"/>
      <c r="L48" s="19"/>
      <c r="M48" s="15">
        <v>9.0200005000000001</v>
      </c>
      <c r="N48" s="19">
        <v>0.91700000000000004</v>
      </c>
      <c r="O48" s="9">
        <v>0.02</v>
      </c>
      <c r="P48" s="18" t="s">
        <v>69</v>
      </c>
      <c r="Q48" s="15"/>
      <c r="R48" s="19"/>
      <c r="S48" s="19"/>
      <c r="T48" s="17">
        <v>5.4000000999999997</v>
      </c>
      <c r="U48" s="37">
        <v>0.54900002000000003</v>
      </c>
      <c r="V48" s="37">
        <v>0.04</v>
      </c>
      <c r="W48" s="18" t="s">
        <v>223</v>
      </c>
    </row>
    <row r="49" spans="1:23" x14ac:dyDescent="0.25">
      <c r="A49" s="7"/>
      <c r="B49" t="s">
        <v>18</v>
      </c>
      <c r="C49" s="15"/>
      <c r="D49" s="19"/>
      <c r="E49" s="19"/>
      <c r="F49" s="17">
        <v>2.97</v>
      </c>
      <c r="G49" s="9">
        <v>0.30199999999999999</v>
      </c>
      <c r="H49" s="9">
        <v>0.46</v>
      </c>
      <c r="I49" s="9" t="s">
        <v>148</v>
      </c>
      <c r="J49" s="15"/>
      <c r="K49" s="19"/>
      <c r="L49" s="19"/>
      <c r="M49" s="15">
        <v>5.6599997999999996</v>
      </c>
      <c r="N49" s="19">
        <v>0.57499999000000002</v>
      </c>
      <c r="O49" s="9">
        <v>0.03</v>
      </c>
      <c r="P49" s="18" t="s">
        <v>70</v>
      </c>
      <c r="Q49" s="15"/>
      <c r="R49" s="19"/>
      <c r="S49" s="19"/>
      <c r="T49" s="17">
        <v>3.8499998999999998</v>
      </c>
      <c r="U49" s="37">
        <v>0.39100000000000001</v>
      </c>
      <c r="V49" s="37">
        <v>0.04</v>
      </c>
      <c r="W49" s="18" t="s">
        <v>224</v>
      </c>
    </row>
    <row r="50" spans="1:23" ht="15.75" thickBot="1" x14ac:dyDescent="0.3">
      <c r="A50" s="7"/>
      <c r="B50" t="s">
        <v>18</v>
      </c>
      <c r="C50" s="15"/>
      <c r="D50" s="19"/>
      <c r="E50" s="19"/>
      <c r="F50" s="17">
        <v>7.52</v>
      </c>
      <c r="G50" s="9">
        <v>0.76300000000000001</v>
      </c>
      <c r="H50" s="9">
        <v>0.45</v>
      </c>
      <c r="I50" s="9" t="s">
        <v>149</v>
      </c>
      <c r="J50" s="15"/>
      <c r="K50" s="19"/>
      <c r="L50" s="19"/>
      <c r="M50" s="15">
        <v>7.96</v>
      </c>
      <c r="N50" s="19">
        <v>0.80800002999999998</v>
      </c>
      <c r="O50" s="9">
        <v>0.02</v>
      </c>
      <c r="P50" s="18" t="s">
        <v>71</v>
      </c>
      <c r="Q50" s="15"/>
      <c r="R50" s="19"/>
      <c r="S50" s="19"/>
      <c r="T50" s="17">
        <v>7.6599997999999996</v>
      </c>
      <c r="U50" s="37">
        <v>0.77800000000000002</v>
      </c>
      <c r="V50" s="37">
        <v>0.04</v>
      </c>
      <c r="W50" s="18" t="s">
        <v>225</v>
      </c>
    </row>
    <row r="51" spans="1:23" x14ac:dyDescent="0.25">
      <c r="A51" s="1">
        <v>28</v>
      </c>
      <c r="B51" s="2" t="s">
        <v>19</v>
      </c>
      <c r="C51" s="3">
        <f>AVERAGE(F51:F57)</f>
        <v>11.982857142857142</v>
      </c>
      <c r="D51" s="3">
        <f>AVERAGE(G51:G57)</f>
        <v>0.75542857142857145</v>
      </c>
      <c r="E51" s="3">
        <f>AVERAGE(H51:H57)</f>
        <v>0.46857142857142853</v>
      </c>
      <c r="F51" s="27">
        <v>13.47</v>
      </c>
      <c r="G51" s="6">
        <v>0.84899999999999998</v>
      </c>
      <c r="H51" s="6">
        <v>0.45</v>
      </c>
      <c r="I51" s="6" t="s">
        <v>150</v>
      </c>
      <c r="J51" s="3">
        <f>AVERAGE(M51:M57)</f>
        <v>11.327142785714285</v>
      </c>
      <c r="K51" s="3">
        <f>AVERAGE(N51:N57)</f>
        <v>0.71371427285714284</v>
      </c>
      <c r="L51" s="3">
        <f>AVERAGE(O51:O57)</f>
        <v>0.02</v>
      </c>
      <c r="M51" s="3">
        <v>12.69</v>
      </c>
      <c r="N51" s="5">
        <v>0.80000000999999998</v>
      </c>
      <c r="O51" s="6">
        <v>0.02</v>
      </c>
      <c r="P51" s="22" t="s">
        <v>72</v>
      </c>
      <c r="Q51" s="3">
        <f>AVERAGE(T51:T57)</f>
        <v>3.7728571999999998</v>
      </c>
      <c r="R51" s="3">
        <f>AVERAGE(U51:U57)</f>
        <v>0.23785714285714282</v>
      </c>
      <c r="S51" s="3">
        <f>AVERAGE(V51:V57)</f>
        <v>5.1428571428571428E-2</v>
      </c>
      <c r="T51" s="27">
        <v>6.8800001000000002</v>
      </c>
      <c r="U51" s="6">
        <v>0.43399999</v>
      </c>
      <c r="V51" s="6">
        <v>0.04</v>
      </c>
      <c r="W51" s="22" t="s">
        <v>226</v>
      </c>
    </row>
    <row r="52" spans="1:23" x14ac:dyDescent="0.25">
      <c r="A52" s="7"/>
      <c r="B52" t="s">
        <v>19</v>
      </c>
      <c r="C52" s="15"/>
      <c r="D52" s="19"/>
      <c r="E52" s="19"/>
      <c r="F52" s="17">
        <v>12.51</v>
      </c>
      <c r="G52" s="9">
        <v>0.78900000000000003</v>
      </c>
      <c r="H52" s="9">
        <v>0.52</v>
      </c>
      <c r="I52" s="9" t="s">
        <v>151</v>
      </c>
      <c r="J52" s="15"/>
      <c r="K52" s="19"/>
      <c r="L52" s="19"/>
      <c r="M52" s="15">
        <v>11.78</v>
      </c>
      <c r="N52" s="19">
        <v>0.74199998</v>
      </c>
      <c r="O52" s="9">
        <v>0.02</v>
      </c>
      <c r="P52" s="18" t="s">
        <v>73</v>
      </c>
      <c r="Q52" s="15"/>
      <c r="R52" s="19"/>
      <c r="S52" s="19"/>
      <c r="T52" s="17">
        <v>3.27</v>
      </c>
      <c r="U52" s="37">
        <v>0.20599999999999999</v>
      </c>
      <c r="V52" s="37">
        <v>0.06</v>
      </c>
      <c r="W52" s="18" t="s">
        <v>227</v>
      </c>
    </row>
    <row r="53" spans="1:23" x14ac:dyDescent="0.25">
      <c r="A53" s="7"/>
      <c r="B53" t="s">
        <v>19</v>
      </c>
      <c r="C53" s="15"/>
      <c r="D53" s="19"/>
      <c r="E53" s="19"/>
      <c r="F53" s="17">
        <v>12.8</v>
      </c>
      <c r="G53" s="9">
        <v>0.80700000000000005</v>
      </c>
      <c r="H53" s="9">
        <v>0.43</v>
      </c>
      <c r="I53" s="9" t="s">
        <v>152</v>
      </c>
      <c r="J53" s="15"/>
      <c r="K53" s="19"/>
      <c r="L53" s="19"/>
      <c r="M53" s="15">
        <v>11.78</v>
      </c>
      <c r="N53" s="19">
        <v>0.74199998</v>
      </c>
      <c r="O53" s="9">
        <v>0.02</v>
      </c>
      <c r="P53" s="18" t="s">
        <v>73</v>
      </c>
      <c r="Q53" s="15"/>
      <c r="R53" s="19"/>
      <c r="S53" s="19"/>
      <c r="T53" s="17">
        <v>3.27</v>
      </c>
      <c r="U53" s="37">
        <v>0.20599999999999999</v>
      </c>
      <c r="V53" s="37">
        <v>0.05</v>
      </c>
      <c r="W53" s="18" t="s">
        <v>227</v>
      </c>
    </row>
    <row r="54" spans="1:23" x14ac:dyDescent="0.25">
      <c r="A54" s="7"/>
      <c r="B54" t="s">
        <v>19</v>
      </c>
      <c r="C54" s="15"/>
      <c r="D54" s="19"/>
      <c r="E54" s="19"/>
      <c r="F54" s="17">
        <v>11.04</v>
      </c>
      <c r="G54" s="9">
        <v>0.69599999999999995</v>
      </c>
      <c r="H54" s="9">
        <v>0.53</v>
      </c>
      <c r="I54" s="9" t="s">
        <v>153</v>
      </c>
      <c r="J54" s="15"/>
      <c r="K54" s="19"/>
      <c r="L54" s="19"/>
      <c r="M54" s="15">
        <v>11.78</v>
      </c>
      <c r="N54" s="19">
        <v>0.74199998</v>
      </c>
      <c r="O54" s="9">
        <v>0.02</v>
      </c>
      <c r="P54" s="18" t="s">
        <v>73</v>
      </c>
      <c r="Q54" s="15"/>
      <c r="R54" s="19"/>
      <c r="S54" s="19"/>
      <c r="T54" s="17">
        <v>3.27</v>
      </c>
      <c r="U54" s="37">
        <v>0.20599999999999999</v>
      </c>
      <c r="V54" s="37">
        <v>0.05</v>
      </c>
      <c r="W54" s="18" t="s">
        <v>227</v>
      </c>
    </row>
    <row r="55" spans="1:23" x14ac:dyDescent="0.25">
      <c r="A55" s="7"/>
      <c r="B55" t="s">
        <v>19</v>
      </c>
      <c r="C55" s="15"/>
      <c r="D55" s="19"/>
      <c r="E55" s="19"/>
      <c r="F55" s="17">
        <v>9.75</v>
      </c>
      <c r="G55" s="9">
        <v>0.61399999999999999</v>
      </c>
      <c r="H55" s="9">
        <v>0.45</v>
      </c>
      <c r="I55" s="9" t="s">
        <v>154</v>
      </c>
      <c r="J55" s="15"/>
      <c r="K55" s="19"/>
      <c r="L55" s="19"/>
      <c r="M55" s="15">
        <v>8.9799994999999999</v>
      </c>
      <c r="N55" s="19">
        <v>0.56599997999999996</v>
      </c>
      <c r="O55" s="9">
        <v>0.02</v>
      </c>
      <c r="P55" s="18" t="s">
        <v>74</v>
      </c>
      <c r="Q55" s="15"/>
      <c r="R55" s="19"/>
      <c r="S55" s="19"/>
      <c r="T55" s="17">
        <v>2.4200001000000002</v>
      </c>
      <c r="U55" s="37">
        <v>0.153</v>
      </c>
      <c r="V55" s="37">
        <v>0.05</v>
      </c>
      <c r="W55" s="18" t="s">
        <v>228</v>
      </c>
    </row>
    <row r="56" spans="1:23" x14ac:dyDescent="0.25">
      <c r="A56" s="7"/>
      <c r="B56" t="s">
        <v>19</v>
      </c>
      <c r="C56" s="15"/>
      <c r="D56" s="19"/>
      <c r="E56" s="19"/>
      <c r="F56" s="17">
        <v>11.51</v>
      </c>
      <c r="G56" s="9">
        <v>0.72599999999999998</v>
      </c>
      <c r="H56" s="9">
        <v>0.44</v>
      </c>
      <c r="I56" s="9" t="s">
        <v>155</v>
      </c>
      <c r="J56" s="15"/>
      <c r="K56" s="19"/>
      <c r="L56" s="19"/>
      <c r="M56" s="15">
        <v>10.5</v>
      </c>
      <c r="N56" s="19">
        <v>0.66200000000000003</v>
      </c>
      <c r="O56" s="9">
        <v>0.02</v>
      </c>
      <c r="P56" s="18" t="s">
        <v>75</v>
      </c>
      <c r="Q56" s="15"/>
      <c r="R56" s="19"/>
      <c r="S56" s="19"/>
      <c r="T56" s="17">
        <v>4.0300001999999999</v>
      </c>
      <c r="U56" s="37">
        <v>0.25400001</v>
      </c>
      <c r="V56" s="37">
        <v>0.04</v>
      </c>
      <c r="W56" s="18" t="s">
        <v>229</v>
      </c>
    </row>
    <row r="57" spans="1:23" ht="15.75" thickBot="1" x14ac:dyDescent="0.3">
      <c r="A57" s="10"/>
      <c r="B57" s="11" t="s">
        <v>19</v>
      </c>
      <c r="C57" s="16"/>
      <c r="D57" s="12"/>
      <c r="E57" s="12"/>
      <c r="F57" s="28">
        <v>12.8</v>
      </c>
      <c r="G57" s="14">
        <v>0.80700000000000005</v>
      </c>
      <c r="H57" s="14">
        <v>0.46</v>
      </c>
      <c r="I57" s="14" t="s">
        <v>152</v>
      </c>
      <c r="J57" s="16"/>
      <c r="K57" s="12"/>
      <c r="L57" s="12"/>
      <c r="M57" s="16">
        <v>11.78</v>
      </c>
      <c r="N57" s="12">
        <v>0.74199998</v>
      </c>
      <c r="O57" s="14">
        <v>0.02</v>
      </c>
      <c r="P57" s="21" t="s">
        <v>73</v>
      </c>
      <c r="Q57" s="16"/>
      <c r="R57" s="12"/>
      <c r="S57" s="12"/>
      <c r="T57" s="28">
        <v>3.27</v>
      </c>
      <c r="U57" s="14">
        <v>0.20599999999999999</v>
      </c>
      <c r="V57" s="14">
        <v>7.0000000000000007E-2</v>
      </c>
      <c r="W57" s="21" t="s">
        <v>227</v>
      </c>
    </row>
    <row r="58" spans="1:23" x14ac:dyDescent="0.25">
      <c r="A58" s="7">
        <v>29</v>
      </c>
      <c r="B58" t="s">
        <v>20</v>
      </c>
      <c r="C58" s="15">
        <f>AVERAGE(F58:F61)</f>
        <v>5.65</v>
      </c>
      <c r="D58" s="15">
        <f>AVERAGE(G58:G61)</f>
        <v>0.35549999999999998</v>
      </c>
      <c r="E58" s="15">
        <f>AVERAGE(H58:H61)</f>
        <v>0.42249999999999999</v>
      </c>
      <c r="F58" s="17">
        <v>5.49</v>
      </c>
      <c r="G58" s="9">
        <v>0.34499999999999997</v>
      </c>
      <c r="H58" s="9">
        <v>0.42</v>
      </c>
      <c r="I58" s="9" t="s">
        <v>156</v>
      </c>
      <c r="J58" s="15">
        <f>AVERAGE(M58:M61)</f>
        <v>9.0674999500000002</v>
      </c>
      <c r="K58" s="15">
        <f>AVERAGE(N58:N61)</f>
        <v>0.57050000999999995</v>
      </c>
      <c r="L58" s="15">
        <f>AVERAGE(O58:O61)</f>
        <v>0.02</v>
      </c>
      <c r="M58" s="15">
        <v>9.0299996999999994</v>
      </c>
      <c r="N58" s="19">
        <v>0.56800002000000005</v>
      </c>
      <c r="O58" s="9">
        <v>0.02</v>
      </c>
      <c r="P58" s="18" t="s">
        <v>76</v>
      </c>
      <c r="Q58" s="15">
        <f>AVERAGE(T58:T61)</f>
        <v>3.1849999749999998</v>
      </c>
      <c r="R58" s="15">
        <f>AVERAGE(U58:U61)</f>
        <v>0.2007500025</v>
      </c>
      <c r="S58" s="15">
        <f>AVERAGE(V58:V61)</f>
        <v>4.4999999999999998E-2</v>
      </c>
      <c r="T58" s="17">
        <v>2.46</v>
      </c>
      <c r="U58" s="37">
        <v>0.155</v>
      </c>
      <c r="V58" s="37">
        <v>0.05</v>
      </c>
      <c r="W58" s="18" t="s">
        <v>230</v>
      </c>
    </row>
    <row r="59" spans="1:23" x14ac:dyDescent="0.25">
      <c r="A59" s="7"/>
      <c r="B59" t="s">
        <v>20</v>
      </c>
      <c r="C59" s="15"/>
      <c r="D59" s="19"/>
      <c r="E59" s="19"/>
      <c r="F59" s="17">
        <v>4.79</v>
      </c>
      <c r="G59" s="9">
        <v>0.30199999999999999</v>
      </c>
      <c r="H59" s="9">
        <v>0.43</v>
      </c>
      <c r="I59" s="9" t="s">
        <v>157</v>
      </c>
      <c r="J59" s="15"/>
      <c r="K59" s="19"/>
      <c r="L59" s="19"/>
      <c r="M59" s="15">
        <v>6.3600000999999997</v>
      </c>
      <c r="N59" s="19">
        <v>0.40000001000000002</v>
      </c>
      <c r="O59" s="9">
        <v>0.02</v>
      </c>
      <c r="P59" s="18" t="s">
        <v>77</v>
      </c>
      <c r="Q59" s="15"/>
      <c r="R59" s="19"/>
      <c r="S59" s="19"/>
      <c r="T59" s="17">
        <v>4.0599999000000002</v>
      </c>
      <c r="U59" s="37">
        <v>0.25600001</v>
      </c>
      <c r="V59" s="37">
        <v>0.04</v>
      </c>
      <c r="W59" s="18" t="s">
        <v>231</v>
      </c>
    </row>
    <row r="60" spans="1:23" x14ac:dyDescent="0.25">
      <c r="A60" s="7"/>
      <c r="B60" t="s">
        <v>20</v>
      </c>
      <c r="C60" s="15"/>
      <c r="D60" s="19"/>
      <c r="E60" s="19"/>
      <c r="F60" s="17">
        <v>5.23</v>
      </c>
      <c r="G60" s="9">
        <v>0.32900000000000001</v>
      </c>
      <c r="H60" s="9">
        <v>0.42</v>
      </c>
      <c r="I60" s="9" t="s">
        <v>158</v>
      </c>
      <c r="J60" s="15"/>
      <c r="K60" s="19"/>
      <c r="L60" s="19"/>
      <c r="M60" s="15">
        <v>10.38</v>
      </c>
      <c r="N60" s="19">
        <v>0.65300000000000002</v>
      </c>
      <c r="O60" s="9">
        <v>0.02</v>
      </c>
      <c r="P60" s="18" t="s">
        <v>78</v>
      </c>
      <c r="Q60" s="15"/>
      <c r="R60" s="19"/>
      <c r="S60" s="19"/>
      <c r="T60" s="17">
        <v>2.3299998999999998</v>
      </c>
      <c r="U60" s="37">
        <v>0.14699999999999999</v>
      </c>
      <c r="V60" s="37">
        <v>0.04</v>
      </c>
      <c r="W60" s="18" t="s">
        <v>232</v>
      </c>
    </row>
    <row r="61" spans="1:23" ht="15.75" thickBot="1" x14ac:dyDescent="0.3">
      <c r="A61" s="7"/>
      <c r="B61" t="s">
        <v>20</v>
      </c>
      <c r="C61" s="15"/>
      <c r="D61" s="19"/>
      <c r="E61" s="19"/>
      <c r="F61" s="17">
        <v>7.09</v>
      </c>
      <c r="G61" s="9">
        <v>0.44600000000000001</v>
      </c>
      <c r="H61" s="9">
        <v>0.42</v>
      </c>
      <c r="I61" s="9" t="s">
        <v>159</v>
      </c>
      <c r="J61" s="15"/>
      <c r="K61" s="19"/>
      <c r="L61" s="19"/>
      <c r="M61" s="15">
        <v>10.5</v>
      </c>
      <c r="N61" s="19">
        <v>0.66100000999999997</v>
      </c>
      <c r="O61" s="9">
        <v>0.02</v>
      </c>
      <c r="P61" s="18" t="s">
        <v>79</v>
      </c>
      <c r="Q61" s="15"/>
      <c r="R61" s="19"/>
      <c r="S61" s="19"/>
      <c r="T61" s="17">
        <v>3.8900001</v>
      </c>
      <c r="U61" s="37">
        <v>0.245</v>
      </c>
      <c r="V61" s="37">
        <v>0.05</v>
      </c>
      <c r="W61" s="18" t="s">
        <v>233</v>
      </c>
    </row>
    <row r="62" spans="1:23" x14ac:dyDescent="0.25">
      <c r="A62" s="1">
        <v>31</v>
      </c>
      <c r="B62" s="2" t="s">
        <v>21</v>
      </c>
      <c r="C62" s="3">
        <f>AVERAGE(F62:F63)</f>
        <v>6.0749999999999993</v>
      </c>
      <c r="D62" s="3">
        <f>AVERAGE(G62:G63)</f>
        <v>0.61699999999999999</v>
      </c>
      <c r="E62" s="3">
        <f>AVERAGE(H62:H63)</f>
        <v>0.47</v>
      </c>
      <c r="F62" s="27">
        <v>4.26</v>
      </c>
      <c r="G62" s="6">
        <v>0.433</v>
      </c>
      <c r="H62" s="6">
        <v>0.5</v>
      </c>
      <c r="I62" s="6" t="s">
        <v>160</v>
      </c>
      <c r="J62" s="3">
        <f>AVERAGE(M62:M63)</f>
        <v>9.9399997500000001</v>
      </c>
      <c r="K62" s="3">
        <f>AVERAGE(N62:N63)</f>
        <v>1.0100000099999999</v>
      </c>
      <c r="L62" s="3">
        <f>AVERAGE(O62:O63)</f>
        <v>0.02</v>
      </c>
      <c r="M62" s="3">
        <v>11.15</v>
      </c>
      <c r="N62" s="5">
        <v>1.133</v>
      </c>
      <c r="O62" s="6">
        <v>0.02</v>
      </c>
      <c r="P62" s="22" t="s">
        <v>80</v>
      </c>
      <c r="Q62" s="3">
        <f>AVERAGE(T62:T63)</f>
        <v>2.2549999999999999</v>
      </c>
      <c r="R62" s="3">
        <f>AVERAGE(U62:U63)</f>
        <v>0.22949999499999998</v>
      </c>
      <c r="S62" s="3">
        <f>AVERAGE(V62:V63)</f>
        <v>5.5E-2</v>
      </c>
      <c r="T62" s="27">
        <v>3.51</v>
      </c>
      <c r="U62" s="6">
        <v>0.35699998999999999</v>
      </c>
      <c r="V62" s="6">
        <v>0.06</v>
      </c>
      <c r="W62" s="22" t="s">
        <v>234</v>
      </c>
    </row>
    <row r="63" spans="1:23" ht="15.75" thickBot="1" x14ac:dyDescent="0.3">
      <c r="A63" s="10"/>
      <c r="B63" s="11" t="s">
        <v>21</v>
      </c>
      <c r="C63" s="16"/>
      <c r="D63" s="12"/>
      <c r="E63" s="12"/>
      <c r="F63" s="28">
        <v>7.89</v>
      </c>
      <c r="G63" s="14">
        <v>0.80100000000000005</v>
      </c>
      <c r="H63" s="14">
        <v>0.44</v>
      </c>
      <c r="I63" s="14" t="s">
        <v>161</v>
      </c>
      <c r="J63" s="16"/>
      <c r="K63" s="12"/>
      <c r="L63" s="12"/>
      <c r="M63" s="16">
        <v>8.7299994999999999</v>
      </c>
      <c r="N63" s="12">
        <v>0.88700002</v>
      </c>
      <c r="O63" s="14">
        <v>0.02</v>
      </c>
      <c r="P63" s="21" t="s">
        <v>81</v>
      </c>
      <c r="Q63" s="16"/>
      <c r="R63" s="12"/>
      <c r="S63" s="12"/>
      <c r="T63" s="28">
        <v>1</v>
      </c>
      <c r="U63" s="14">
        <v>0.10199999999999999</v>
      </c>
      <c r="V63" s="14">
        <v>0.05</v>
      </c>
      <c r="W63" s="21" t="s">
        <v>235</v>
      </c>
    </row>
    <row r="64" spans="1:23" x14ac:dyDescent="0.25">
      <c r="A64" s="7">
        <v>32</v>
      </c>
      <c r="B64" t="s">
        <v>22</v>
      </c>
      <c r="C64" s="15">
        <f>AVERAGE(F64:F68)</f>
        <v>4.8220000000000001</v>
      </c>
      <c r="D64" s="15">
        <f>AVERAGE(G64:G68)</f>
        <v>0.48959999999999998</v>
      </c>
      <c r="E64" s="15">
        <f>AVERAGE(H64:H68)</f>
        <v>0.44600000000000001</v>
      </c>
      <c r="F64" s="17">
        <v>7.3</v>
      </c>
      <c r="G64" s="9">
        <v>0.74099999999999999</v>
      </c>
      <c r="H64" s="9">
        <v>0.43</v>
      </c>
      <c r="I64" s="9" t="s">
        <v>162</v>
      </c>
      <c r="J64" s="15">
        <f>AVERAGE(M64:M68)</f>
        <v>7.9500001200000003</v>
      </c>
      <c r="K64" s="15">
        <f>AVERAGE(N64:N68)</f>
        <v>0.80740000000000012</v>
      </c>
      <c r="L64" s="15">
        <f>AVERAGE(O64:O68)</f>
        <v>0.02</v>
      </c>
      <c r="M64" s="15">
        <v>9.0200005000000001</v>
      </c>
      <c r="N64" s="19">
        <v>0.91600000999999998</v>
      </c>
      <c r="O64" s="9">
        <v>0.02</v>
      </c>
      <c r="P64" s="18" t="s">
        <v>82</v>
      </c>
      <c r="Q64" s="15">
        <f>AVERAGE(T64:T68)</f>
        <v>4.3520000400000001</v>
      </c>
      <c r="R64" s="15">
        <f>AVERAGE(U64:U68)</f>
        <v>0.44240000600000001</v>
      </c>
      <c r="S64" s="15">
        <f>AVERAGE(V64:V68)</f>
        <v>4.6000000000000006E-2</v>
      </c>
      <c r="T64" s="17">
        <v>6.4099997999999996</v>
      </c>
      <c r="U64" s="37">
        <v>0.65100002000000001</v>
      </c>
      <c r="V64" s="37">
        <v>0.04</v>
      </c>
      <c r="W64" s="18" t="s">
        <v>236</v>
      </c>
    </row>
    <row r="65" spans="1:23" x14ac:dyDescent="0.25">
      <c r="A65" s="7"/>
      <c r="B65" t="s">
        <v>22</v>
      </c>
      <c r="C65" s="15"/>
      <c r="D65" s="19"/>
      <c r="E65" s="19"/>
      <c r="F65" s="17">
        <v>4.4400000000000004</v>
      </c>
      <c r="G65" s="9">
        <v>0.45100000000000001</v>
      </c>
      <c r="H65" s="9">
        <v>0.45</v>
      </c>
      <c r="I65" s="9" t="s">
        <v>163</v>
      </c>
      <c r="J65" s="15"/>
      <c r="K65" s="19"/>
      <c r="L65" s="19"/>
      <c r="M65" s="15">
        <v>7.3800001000000002</v>
      </c>
      <c r="N65" s="19">
        <v>0.75</v>
      </c>
      <c r="O65" s="9">
        <v>0.02</v>
      </c>
      <c r="P65" s="18" t="s">
        <v>83</v>
      </c>
      <c r="Q65" s="15"/>
      <c r="R65" s="19"/>
      <c r="S65" s="19"/>
      <c r="T65" s="17">
        <v>4.0300001999999999</v>
      </c>
      <c r="U65" s="37">
        <v>0.41</v>
      </c>
      <c r="V65" s="37">
        <v>0.05</v>
      </c>
      <c r="W65" s="18" t="s">
        <v>237</v>
      </c>
    </row>
    <row r="66" spans="1:23" x14ac:dyDescent="0.25">
      <c r="A66" s="7"/>
      <c r="B66" t="s">
        <v>22</v>
      </c>
      <c r="C66" s="15"/>
      <c r="D66" s="19"/>
      <c r="E66" s="19"/>
      <c r="F66" s="17">
        <v>4.1900000000000004</v>
      </c>
      <c r="G66" s="9">
        <v>0.42599999999999999</v>
      </c>
      <c r="H66" s="9">
        <v>0.43</v>
      </c>
      <c r="I66" s="9" t="s">
        <v>164</v>
      </c>
      <c r="J66" s="15"/>
      <c r="K66" s="19"/>
      <c r="L66" s="19"/>
      <c r="M66" s="15">
        <v>6.02</v>
      </c>
      <c r="N66" s="19">
        <v>0.61199999000000005</v>
      </c>
      <c r="O66" s="9">
        <v>0.02</v>
      </c>
      <c r="P66" s="18" t="s">
        <v>84</v>
      </c>
      <c r="Q66" s="15"/>
      <c r="R66" s="19"/>
      <c r="S66" s="19"/>
      <c r="T66" s="17">
        <v>4.4800000000000004</v>
      </c>
      <c r="U66" s="37">
        <v>0.45500001000000001</v>
      </c>
      <c r="V66" s="37">
        <v>0.05</v>
      </c>
      <c r="W66" s="18" t="s">
        <v>238</v>
      </c>
    </row>
    <row r="67" spans="1:23" x14ac:dyDescent="0.25">
      <c r="A67" s="7"/>
      <c r="B67" t="s">
        <v>22</v>
      </c>
      <c r="C67" s="15"/>
      <c r="D67" s="19"/>
      <c r="E67" s="19"/>
      <c r="F67" s="17">
        <v>5.18</v>
      </c>
      <c r="G67" s="9">
        <v>0.52600000000000002</v>
      </c>
      <c r="H67" s="9">
        <v>0.49</v>
      </c>
      <c r="I67" s="9" t="s">
        <v>165</v>
      </c>
      <c r="J67" s="15"/>
      <c r="K67" s="19"/>
      <c r="L67" s="19"/>
      <c r="M67" s="15">
        <v>10.58</v>
      </c>
      <c r="N67" s="19">
        <v>1.0740000000000001</v>
      </c>
      <c r="O67" s="9">
        <v>0.02</v>
      </c>
      <c r="P67" s="18" t="s">
        <v>85</v>
      </c>
      <c r="Q67" s="15"/>
      <c r="R67" s="19"/>
      <c r="S67" s="19"/>
      <c r="T67" s="17">
        <v>3.9000001000000002</v>
      </c>
      <c r="U67" s="37">
        <v>0.39700001000000001</v>
      </c>
      <c r="V67" s="37">
        <v>0.04</v>
      </c>
      <c r="W67" s="18" t="s">
        <v>239</v>
      </c>
    </row>
    <row r="68" spans="1:23" ht="15.75" thickBot="1" x14ac:dyDescent="0.3">
      <c r="A68" s="7"/>
      <c r="B68" t="s">
        <v>22</v>
      </c>
      <c r="C68" s="15"/>
      <c r="D68" s="19"/>
      <c r="E68" s="19"/>
      <c r="F68" s="17">
        <v>3</v>
      </c>
      <c r="G68" s="9">
        <v>0.30399999999999999</v>
      </c>
      <c r="H68" s="9">
        <v>0.43</v>
      </c>
      <c r="I68" s="9" t="s">
        <v>166</v>
      </c>
      <c r="J68" s="15"/>
      <c r="K68" s="19"/>
      <c r="L68" s="19"/>
      <c r="M68" s="15">
        <v>6.75</v>
      </c>
      <c r="N68" s="19">
        <v>0.68500000000000005</v>
      </c>
      <c r="O68" s="9">
        <v>0.02</v>
      </c>
      <c r="P68" s="18" t="s">
        <v>86</v>
      </c>
      <c r="Q68" s="15"/>
      <c r="R68" s="19"/>
      <c r="S68" s="19"/>
      <c r="T68" s="17">
        <v>2.9400000999999998</v>
      </c>
      <c r="U68" s="37">
        <v>0.29899998999999999</v>
      </c>
      <c r="V68" s="37">
        <v>0.05</v>
      </c>
      <c r="W68" s="18" t="s">
        <v>240</v>
      </c>
    </row>
    <row r="69" spans="1:23" x14ac:dyDescent="0.25">
      <c r="A69" s="1">
        <v>36</v>
      </c>
      <c r="B69" s="2" t="s">
        <v>23</v>
      </c>
      <c r="C69" s="3">
        <f>AVERAGE(F69:F71)</f>
        <v>12.403333333333334</v>
      </c>
      <c r="D69" s="3">
        <f>AVERAGE(G69:G71)</f>
        <v>0.82399999999999995</v>
      </c>
      <c r="E69" s="3">
        <f>AVERAGE(H69:H71)</f>
        <v>0.44</v>
      </c>
      <c r="F69" s="27">
        <v>12.37</v>
      </c>
      <c r="G69" s="6">
        <v>0.82199999999999995</v>
      </c>
      <c r="H69" s="6">
        <v>0.44</v>
      </c>
      <c r="I69" s="6" t="s">
        <v>167</v>
      </c>
      <c r="J69" s="3">
        <f>AVERAGE(M69:M71)</f>
        <v>13.403333333333331</v>
      </c>
      <c r="K69" s="3">
        <f>AVERAGE(N69:N71)</f>
        <v>0.89066669666666665</v>
      </c>
      <c r="L69" s="3">
        <f>AVERAGE(O69:O71)</f>
        <v>0.02</v>
      </c>
      <c r="M69" s="3">
        <v>15.26</v>
      </c>
      <c r="N69" s="5">
        <v>1.0140001000000001</v>
      </c>
      <c r="O69" s="6">
        <v>0.02</v>
      </c>
      <c r="P69" s="22" t="s">
        <v>87</v>
      </c>
      <c r="Q69" s="3">
        <f>AVERAGE(T69:T71)</f>
        <v>5.1366667333333327</v>
      </c>
      <c r="R69" s="3">
        <f>AVERAGE(U69:U71)</f>
        <v>0.34099999666666664</v>
      </c>
      <c r="S69" s="3">
        <f>AVERAGE(V69:V71)</f>
        <v>0.04</v>
      </c>
      <c r="T69" s="27">
        <v>5.54</v>
      </c>
      <c r="U69" s="6">
        <v>0.36799999999999999</v>
      </c>
      <c r="V69" s="6">
        <v>0.04</v>
      </c>
      <c r="W69" s="22" t="s">
        <v>241</v>
      </c>
    </row>
    <row r="70" spans="1:23" x14ac:dyDescent="0.25">
      <c r="A70" s="7"/>
      <c r="B70" t="s">
        <v>23</v>
      </c>
      <c r="C70" s="15"/>
      <c r="D70" s="19"/>
      <c r="E70" s="19"/>
      <c r="F70" s="17">
        <v>12.84</v>
      </c>
      <c r="G70" s="9">
        <v>0.85299999999999998</v>
      </c>
      <c r="H70" s="9">
        <v>0.44</v>
      </c>
      <c r="I70" s="9" t="s">
        <v>168</v>
      </c>
      <c r="J70" s="15"/>
      <c r="K70" s="19"/>
      <c r="L70" s="19"/>
      <c r="M70" s="15">
        <v>14.43</v>
      </c>
      <c r="N70" s="19">
        <v>0.95899999000000002</v>
      </c>
      <c r="O70" s="9">
        <v>0.02</v>
      </c>
      <c r="P70" s="18" t="s">
        <v>88</v>
      </c>
      <c r="Q70" s="15"/>
      <c r="R70" s="19"/>
      <c r="S70" s="19"/>
      <c r="T70" s="17">
        <v>6.5700002</v>
      </c>
      <c r="U70" s="37">
        <v>0.43599999</v>
      </c>
      <c r="V70" s="37">
        <v>0.04</v>
      </c>
      <c r="W70" s="18" t="s">
        <v>242</v>
      </c>
    </row>
    <row r="71" spans="1:23" ht="15.75" thickBot="1" x14ac:dyDescent="0.3">
      <c r="A71" s="10"/>
      <c r="B71" s="11" t="s">
        <v>23</v>
      </c>
      <c r="C71" s="16"/>
      <c r="D71" s="12"/>
      <c r="E71" s="12"/>
      <c r="F71" s="28">
        <v>12</v>
      </c>
      <c r="G71" s="14">
        <v>0.79700000000000004</v>
      </c>
      <c r="H71" s="14">
        <v>0.44</v>
      </c>
      <c r="I71" s="14" t="s">
        <v>169</v>
      </c>
      <c r="J71" s="16"/>
      <c r="K71" s="12"/>
      <c r="L71" s="12"/>
      <c r="M71" s="16">
        <v>10.52</v>
      </c>
      <c r="N71" s="12">
        <v>0.69899999999999995</v>
      </c>
      <c r="O71" s="14">
        <v>0.02</v>
      </c>
      <c r="P71" s="21" t="s">
        <v>89</v>
      </c>
      <c r="Q71" s="16"/>
      <c r="R71" s="12"/>
      <c r="S71" s="12"/>
      <c r="T71" s="28">
        <v>3.3</v>
      </c>
      <c r="U71" s="14">
        <v>0.219</v>
      </c>
      <c r="V71" s="14">
        <v>0.04</v>
      </c>
      <c r="W71" s="21" t="s">
        <v>243</v>
      </c>
    </row>
    <row r="72" spans="1:23" x14ac:dyDescent="0.25">
      <c r="A72" s="7">
        <v>37</v>
      </c>
      <c r="B72" t="s">
        <v>24</v>
      </c>
      <c r="C72" s="15">
        <f>AVERAGE(F72:F74)</f>
        <v>5.34</v>
      </c>
      <c r="D72" s="15">
        <f>AVERAGE(G72:G74)</f>
        <v>0.35433333333333333</v>
      </c>
      <c r="E72" s="15">
        <f>AVERAGE(H72:H74)</f>
        <v>0.46666666666666662</v>
      </c>
      <c r="F72" s="17">
        <v>4.7300000000000004</v>
      </c>
      <c r="G72" s="9">
        <v>0.314</v>
      </c>
      <c r="H72" s="9">
        <v>0.46</v>
      </c>
      <c r="I72" s="9" t="s">
        <v>170</v>
      </c>
      <c r="J72" s="15">
        <f>AVERAGE(M72:M74)</f>
        <v>8.8499999666666671</v>
      </c>
      <c r="K72" s="15">
        <f>AVERAGE(N72:N74)</f>
        <v>0.58700000333333335</v>
      </c>
      <c r="L72" s="15">
        <f>AVERAGE(O72:O74)</f>
        <v>0.02</v>
      </c>
      <c r="M72" s="15">
        <v>8.6700000999999993</v>
      </c>
      <c r="N72" s="19">
        <v>0.57499999000000002</v>
      </c>
      <c r="O72" s="9">
        <v>0.02</v>
      </c>
      <c r="P72" s="18" t="s">
        <v>90</v>
      </c>
      <c r="Q72" s="15">
        <f>AVERAGE(T72:T74)</f>
        <v>3.643333366666667</v>
      </c>
      <c r="R72" s="15">
        <f>AVERAGE(U72:U74)</f>
        <v>0.2416666666666667</v>
      </c>
      <c r="S72" s="15">
        <f>AVERAGE(V72:V74)</f>
        <v>0.04</v>
      </c>
      <c r="T72" s="17">
        <v>3.0799998999999998</v>
      </c>
      <c r="U72" s="37">
        <v>0.20399999999999999</v>
      </c>
      <c r="V72" s="37">
        <v>0.04</v>
      </c>
      <c r="W72" s="18" t="s">
        <v>244</v>
      </c>
    </row>
    <row r="73" spans="1:23" x14ac:dyDescent="0.25">
      <c r="A73" s="7"/>
      <c r="B73" t="s">
        <v>24</v>
      </c>
      <c r="C73" s="15"/>
      <c r="D73" s="19"/>
      <c r="E73" s="19"/>
      <c r="F73" s="17">
        <v>6.42</v>
      </c>
      <c r="G73" s="9">
        <v>0.42599999999999999</v>
      </c>
      <c r="H73" s="9">
        <v>0.46</v>
      </c>
      <c r="I73" s="9" t="s">
        <v>171</v>
      </c>
      <c r="J73" s="15"/>
      <c r="K73" s="19"/>
      <c r="L73" s="19"/>
      <c r="M73" s="15">
        <v>10.66</v>
      </c>
      <c r="N73" s="19">
        <v>0.70700001999999995</v>
      </c>
      <c r="O73" s="9">
        <v>0.02</v>
      </c>
      <c r="P73" s="18" t="s">
        <v>91</v>
      </c>
      <c r="Q73" s="15"/>
      <c r="R73" s="19"/>
      <c r="S73" s="19"/>
      <c r="T73" s="17">
        <v>3.9300001</v>
      </c>
      <c r="U73" s="37">
        <v>0.26100001</v>
      </c>
      <c r="V73" s="37">
        <v>0.04</v>
      </c>
      <c r="W73" s="18" t="s">
        <v>245</v>
      </c>
    </row>
    <row r="74" spans="1:23" ht="15.75" thickBot="1" x14ac:dyDescent="0.3">
      <c r="A74" s="7"/>
      <c r="B74" t="s">
        <v>24</v>
      </c>
      <c r="C74" s="15"/>
      <c r="D74" s="19"/>
      <c r="E74" s="19"/>
      <c r="F74" s="17">
        <v>4.87</v>
      </c>
      <c r="G74" s="9">
        <v>0.32300000000000001</v>
      </c>
      <c r="H74" s="9">
        <v>0.48</v>
      </c>
      <c r="I74" s="9" t="s">
        <v>172</v>
      </c>
      <c r="J74" s="15"/>
      <c r="K74" s="19"/>
      <c r="L74" s="19"/>
      <c r="M74" s="15">
        <v>7.2199998000000001</v>
      </c>
      <c r="N74" s="19">
        <v>0.47899999999999998</v>
      </c>
      <c r="O74" s="9">
        <v>0.02</v>
      </c>
      <c r="P74" s="18" t="s">
        <v>92</v>
      </c>
      <c r="Q74" s="15"/>
      <c r="R74" s="19"/>
      <c r="S74" s="19"/>
      <c r="T74" s="17">
        <v>3.9200001000000002</v>
      </c>
      <c r="U74" s="37">
        <v>0.25999999000000001</v>
      </c>
      <c r="V74" s="37">
        <v>0.04</v>
      </c>
      <c r="W74" s="18" t="s">
        <v>246</v>
      </c>
    </row>
    <row r="75" spans="1:23" x14ac:dyDescent="0.25">
      <c r="A75" s="1">
        <v>41</v>
      </c>
      <c r="B75" s="2" t="s">
        <v>25</v>
      </c>
      <c r="C75" s="3">
        <f>AVERAGE(F75:F78)</f>
        <v>12.68</v>
      </c>
      <c r="D75" s="3">
        <f>AVERAGE(G75:G78)</f>
        <v>0.63475000000000004</v>
      </c>
      <c r="E75" s="3">
        <f>AVERAGE(H75:H78)</f>
        <v>0.55499999999999994</v>
      </c>
      <c r="F75" s="27">
        <v>3.87</v>
      </c>
      <c r="G75" s="6">
        <v>0.19400000000000001</v>
      </c>
      <c r="H75" s="6">
        <v>0.49</v>
      </c>
      <c r="I75" s="6" t="s">
        <v>173</v>
      </c>
      <c r="J75" s="3">
        <f>AVERAGE(M75:M78)</f>
        <v>12.7675</v>
      </c>
      <c r="K75" s="3">
        <f>AVERAGE(N75:N78)</f>
        <v>0.63875000250000002</v>
      </c>
      <c r="L75" s="3">
        <f>AVERAGE(O75:O78)</f>
        <v>0.02</v>
      </c>
      <c r="M75" s="3">
        <v>12.42</v>
      </c>
      <c r="N75" s="5">
        <v>0.62099998999999995</v>
      </c>
      <c r="O75" s="6">
        <v>0.02</v>
      </c>
      <c r="P75" s="22" t="s">
        <v>93</v>
      </c>
      <c r="Q75" s="3">
        <f>AVERAGE(T75:T78)</f>
        <v>6.139999875</v>
      </c>
      <c r="R75" s="3">
        <f>AVERAGE(U75:U78)</f>
        <v>0.30725000749999998</v>
      </c>
      <c r="S75" s="3">
        <f>AVERAGE(V75:V78)</f>
        <v>4.4999999999999998E-2</v>
      </c>
      <c r="T75" s="27">
        <v>5.9899997999999997</v>
      </c>
      <c r="U75" s="6">
        <v>0.30000000999999998</v>
      </c>
      <c r="V75" s="6">
        <v>0.04</v>
      </c>
      <c r="W75" s="22" t="s">
        <v>247</v>
      </c>
    </row>
    <row r="76" spans="1:23" x14ac:dyDescent="0.25">
      <c r="A76" s="7"/>
      <c r="B76" t="s">
        <v>25</v>
      </c>
      <c r="C76" s="15"/>
      <c r="D76" s="19"/>
      <c r="E76" s="19"/>
      <c r="F76" s="17">
        <v>4.57</v>
      </c>
      <c r="G76" s="9">
        <v>0.22900000000000001</v>
      </c>
      <c r="H76" s="9">
        <v>0.59</v>
      </c>
      <c r="I76" s="9" t="s">
        <v>174</v>
      </c>
      <c r="J76" s="15"/>
      <c r="K76" s="19"/>
      <c r="L76" s="19"/>
      <c r="M76" s="15">
        <v>13.97</v>
      </c>
      <c r="N76" s="19">
        <v>0.69899999999999995</v>
      </c>
      <c r="O76" s="9">
        <v>0.02</v>
      </c>
      <c r="P76" s="18" t="s">
        <v>94</v>
      </c>
      <c r="Q76" s="15"/>
      <c r="R76" s="19"/>
      <c r="S76" s="19"/>
      <c r="T76" s="17">
        <v>6</v>
      </c>
      <c r="U76" s="37">
        <v>0.30000000999999998</v>
      </c>
      <c r="V76" s="37">
        <v>0.04</v>
      </c>
      <c r="W76" s="18" t="s">
        <v>248</v>
      </c>
    </row>
    <row r="77" spans="1:23" x14ac:dyDescent="0.25">
      <c r="A77" s="7"/>
      <c r="B77" t="s">
        <v>25</v>
      </c>
      <c r="C77" s="15"/>
      <c r="D77" s="19"/>
      <c r="E77" s="19"/>
      <c r="F77" s="17">
        <v>4.54</v>
      </c>
      <c r="G77" s="9">
        <v>0.22700000000000001</v>
      </c>
      <c r="H77" s="9">
        <v>0.56999999999999995</v>
      </c>
      <c r="I77" s="9" t="s">
        <v>174</v>
      </c>
      <c r="J77" s="15"/>
      <c r="K77" s="19"/>
      <c r="L77" s="19"/>
      <c r="M77" s="15">
        <v>14.67</v>
      </c>
      <c r="N77" s="19">
        <v>0.73400003000000003</v>
      </c>
      <c r="O77" s="9">
        <v>0.02</v>
      </c>
      <c r="P77" s="18" t="s">
        <v>95</v>
      </c>
      <c r="Q77" s="15"/>
      <c r="R77" s="19"/>
      <c r="S77" s="19"/>
      <c r="T77" s="17">
        <v>6.6999997999999996</v>
      </c>
      <c r="U77" s="37">
        <v>0.33500001000000001</v>
      </c>
      <c r="V77" s="37">
        <v>0.04</v>
      </c>
      <c r="W77" s="18" t="s">
        <v>249</v>
      </c>
    </row>
    <row r="78" spans="1:23" ht="15.75" thickBot="1" x14ac:dyDescent="0.3">
      <c r="A78" s="10"/>
      <c r="B78" s="11" t="s">
        <v>25</v>
      </c>
      <c r="C78" s="16"/>
      <c r="D78" s="12"/>
      <c r="E78" s="12"/>
      <c r="F78" s="28">
        <v>37.74</v>
      </c>
      <c r="G78" s="14">
        <v>1.889</v>
      </c>
      <c r="H78" s="14">
        <v>0.56999999999999995</v>
      </c>
      <c r="I78" s="14" t="s">
        <v>175</v>
      </c>
      <c r="J78" s="16"/>
      <c r="K78" s="12"/>
      <c r="L78" s="12"/>
      <c r="M78" s="16">
        <v>10.01</v>
      </c>
      <c r="N78" s="12">
        <v>0.50099998999999995</v>
      </c>
      <c r="O78" s="14">
        <v>0.02</v>
      </c>
      <c r="P78" s="21" t="s">
        <v>96</v>
      </c>
      <c r="Q78" s="16"/>
      <c r="R78" s="12"/>
      <c r="S78" s="12"/>
      <c r="T78" s="28">
        <v>5.8699998999999998</v>
      </c>
      <c r="U78" s="14">
        <v>0.29399999999999998</v>
      </c>
      <c r="V78" s="14">
        <v>0.06</v>
      </c>
      <c r="W78" s="21" t="s">
        <v>250</v>
      </c>
    </row>
    <row r="79" spans="1:23" x14ac:dyDescent="0.25">
      <c r="A79" s="7">
        <v>46</v>
      </c>
      <c r="B79" t="s">
        <v>26</v>
      </c>
      <c r="C79" s="15">
        <f>AVERAGE(F79:F83)</f>
        <v>10.888</v>
      </c>
      <c r="D79" s="15">
        <f>AVERAGE(G79:G83)</f>
        <v>0.84099999999999997</v>
      </c>
      <c r="E79" s="15">
        <f>AVERAGE(H79:H83)</f>
        <v>0.60400000000000009</v>
      </c>
      <c r="F79" s="17">
        <v>11.31</v>
      </c>
      <c r="G79" s="9">
        <v>0.874</v>
      </c>
      <c r="H79" s="9">
        <v>0.53</v>
      </c>
      <c r="I79" s="9" t="s">
        <v>176</v>
      </c>
      <c r="J79" s="15">
        <f>AVERAGE(M79:M83)</f>
        <v>18.775999600000002</v>
      </c>
      <c r="K79" s="15">
        <f>AVERAGE(N79:N83)</f>
        <v>1.4495999999999998</v>
      </c>
      <c r="L79" s="15">
        <f>AVERAGE(O79:O83)</f>
        <v>2.2000000000000002E-2</v>
      </c>
      <c r="M79" s="15">
        <v>21.67</v>
      </c>
      <c r="N79" s="19">
        <v>1.673</v>
      </c>
      <c r="O79" s="9">
        <v>0.03</v>
      </c>
      <c r="P79" s="18" t="s">
        <v>97</v>
      </c>
      <c r="Q79" s="15">
        <f>AVERAGE(T79:T83)</f>
        <v>8.3179999200000001</v>
      </c>
      <c r="R79" s="15">
        <f>AVERAGE(U79:U83)</f>
        <v>0.64219999799999994</v>
      </c>
      <c r="S79" s="15">
        <f>AVERAGE(V79:V83)</f>
        <v>5.6000000000000008E-2</v>
      </c>
      <c r="T79" s="17">
        <v>12.55</v>
      </c>
      <c r="U79" s="37">
        <v>0.96899997999999998</v>
      </c>
      <c r="V79" s="37">
        <v>7.0000000000000007E-2</v>
      </c>
      <c r="W79" s="18" t="s">
        <v>251</v>
      </c>
    </row>
    <row r="80" spans="1:23" x14ac:dyDescent="0.25">
      <c r="A80" s="7"/>
      <c r="B80" t="s">
        <v>26</v>
      </c>
      <c r="C80" s="15"/>
      <c r="D80" s="19"/>
      <c r="E80" s="19"/>
      <c r="F80" s="17">
        <v>11.22</v>
      </c>
      <c r="G80" s="9">
        <v>0.86699999999999999</v>
      </c>
      <c r="H80" s="9">
        <v>0.56999999999999995</v>
      </c>
      <c r="I80" s="9" t="s">
        <v>177</v>
      </c>
      <c r="J80" s="15"/>
      <c r="K80" s="19"/>
      <c r="L80" s="19"/>
      <c r="M80" s="15">
        <v>20.389999</v>
      </c>
      <c r="N80" s="19">
        <v>1.5740000000000001</v>
      </c>
      <c r="O80" s="9">
        <v>0.02</v>
      </c>
      <c r="P80" s="18" t="s">
        <v>98</v>
      </c>
      <c r="Q80" s="15"/>
      <c r="R80" s="19"/>
      <c r="S80" s="19"/>
      <c r="T80" s="17">
        <v>9.5399999999999991</v>
      </c>
      <c r="U80" s="37">
        <v>0.73599999999999999</v>
      </c>
      <c r="V80" s="37">
        <v>0.05</v>
      </c>
      <c r="W80" s="18" t="s">
        <v>252</v>
      </c>
    </row>
    <row r="81" spans="1:23" x14ac:dyDescent="0.25">
      <c r="A81" s="7"/>
      <c r="B81" t="s">
        <v>26</v>
      </c>
      <c r="C81" s="15"/>
      <c r="D81" s="19"/>
      <c r="E81" s="19"/>
      <c r="F81" s="17">
        <v>10.64</v>
      </c>
      <c r="G81" s="9">
        <v>0.82199999999999995</v>
      </c>
      <c r="H81" s="9">
        <v>0.55000000000000004</v>
      </c>
      <c r="I81" s="9" t="s">
        <v>178</v>
      </c>
      <c r="J81" s="15"/>
      <c r="K81" s="19"/>
      <c r="L81" s="19"/>
      <c r="M81" s="15">
        <v>17.139999</v>
      </c>
      <c r="N81" s="19">
        <v>1.3240000000000001</v>
      </c>
      <c r="O81" s="9">
        <v>0.02</v>
      </c>
      <c r="P81" s="18" t="s">
        <v>99</v>
      </c>
      <c r="Q81" s="15"/>
      <c r="R81" s="19"/>
      <c r="S81" s="19"/>
      <c r="T81" s="17">
        <v>5.54</v>
      </c>
      <c r="U81" s="37">
        <v>0.42799999999999999</v>
      </c>
      <c r="V81" s="37">
        <v>0.05</v>
      </c>
      <c r="W81" s="18" t="s">
        <v>253</v>
      </c>
    </row>
    <row r="82" spans="1:23" x14ac:dyDescent="0.25">
      <c r="A82" s="7"/>
      <c r="B82" t="s">
        <v>26</v>
      </c>
      <c r="C82" s="15"/>
      <c r="D82" s="19"/>
      <c r="E82" s="19"/>
      <c r="F82" s="17">
        <v>10.82</v>
      </c>
      <c r="G82" s="9">
        <v>0.83499999999999996</v>
      </c>
      <c r="H82" s="9">
        <v>0.59</v>
      </c>
      <c r="I82" s="9" t="s">
        <v>179</v>
      </c>
      <c r="J82" s="15"/>
      <c r="K82" s="19"/>
      <c r="L82" s="19"/>
      <c r="M82" s="15">
        <v>18.98</v>
      </c>
      <c r="N82" s="19">
        <v>1.4650000000000001</v>
      </c>
      <c r="O82" s="9">
        <v>0.02</v>
      </c>
      <c r="P82" s="18" t="s">
        <v>100</v>
      </c>
      <c r="Q82" s="15"/>
      <c r="R82" s="19"/>
      <c r="S82" s="19"/>
      <c r="T82" s="17">
        <v>8.9899997999999997</v>
      </c>
      <c r="U82" s="37">
        <v>0.69400001</v>
      </c>
      <c r="V82" s="37">
        <v>0.06</v>
      </c>
      <c r="W82" s="18" t="s">
        <v>254</v>
      </c>
    </row>
    <row r="83" spans="1:23" ht="15.75" thickBot="1" x14ac:dyDescent="0.3">
      <c r="A83" s="7"/>
      <c r="B83" t="s">
        <v>26</v>
      </c>
      <c r="C83" s="15"/>
      <c r="D83" s="19"/>
      <c r="E83" s="19"/>
      <c r="F83" s="17">
        <v>10.45</v>
      </c>
      <c r="G83" s="9">
        <v>0.80700000000000005</v>
      </c>
      <c r="H83" s="9">
        <v>0.78</v>
      </c>
      <c r="I83" s="9" t="s">
        <v>180</v>
      </c>
      <c r="J83" s="15"/>
      <c r="K83" s="19"/>
      <c r="L83" s="19"/>
      <c r="M83" s="15">
        <v>15.7</v>
      </c>
      <c r="N83" s="19">
        <v>1.212</v>
      </c>
      <c r="O83" s="9">
        <v>0.02</v>
      </c>
      <c r="P83" s="18" t="s">
        <v>101</v>
      </c>
      <c r="Q83" s="15"/>
      <c r="R83" s="19"/>
      <c r="S83" s="19"/>
      <c r="T83" s="17">
        <v>4.9699998000000001</v>
      </c>
      <c r="U83" s="37">
        <v>0.38400000000000001</v>
      </c>
      <c r="V83" s="37">
        <v>0.05</v>
      </c>
      <c r="W83" s="18" t="s">
        <v>255</v>
      </c>
    </row>
    <row r="84" spans="1:23" x14ac:dyDescent="0.25">
      <c r="A84" s="1">
        <v>47</v>
      </c>
      <c r="B84" s="2" t="s">
        <v>27</v>
      </c>
      <c r="C84" s="3">
        <f>AVERAGE(F84:F88)</f>
        <v>4.1840000000000002</v>
      </c>
      <c r="D84" s="3">
        <f>AVERAGE(G84:G88)</f>
        <v>0.32240000000000002</v>
      </c>
      <c r="E84" s="4">
        <f>AVERAGE(H84:H88)</f>
        <v>0.45400000000000001</v>
      </c>
      <c r="F84" s="27">
        <v>4.28</v>
      </c>
      <c r="G84" s="6">
        <v>0.33</v>
      </c>
      <c r="H84" s="6">
        <v>0.45</v>
      </c>
      <c r="I84" s="6" t="s">
        <v>181</v>
      </c>
      <c r="J84" s="3">
        <f>AVERAGE(M84:M88)</f>
        <v>12.712</v>
      </c>
      <c r="K84" s="3">
        <f>AVERAGE(N84:N88)</f>
        <v>0.98019999400000002</v>
      </c>
      <c r="L84" s="4">
        <f>AVERAGE(O84:O88)</f>
        <v>0.02</v>
      </c>
      <c r="M84" s="3">
        <v>11.66</v>
      </c>
      <c r="N84" s="5">
        <v>0.89899998999999997</v>
      </c>
      <c r="O84" s="6">
        <v>0.02</v>
      </c>
      <c r="P84" s="22" t="s">
        <v>102</v>
      </c>
      <c r="Q84" s="3">
        <f>AVERAGE(T84:T88)</f>
        <v>3.0320000600000001</v>
      </c>
      <c r="R84" s="3">
        <f>AVERAGE(U84:U88)</f>
        <v>0.23359999400000003</v>
      </c>
      <c r="S84" s="4">
        <f>AVERAGE(V84:V88)</f>
        <v>5.2000000000000005E-2</v>
      </c>
      <c r="T84" s="27">
        <v>3.4000001000000002</v>
      </c>
      <c r="U84" s="6">
        <v>0.26199999000000002</v>
      </c>
      <c r="V84" s="6">
        <v>0.05</v>
      </c>
      <c r="W84" s="22" t="s">
        <v>256</v>
      </c>
    </row>
    <row r="85" spans="1:23" x14ac:dyDescent="0.25">
      <c r="A85" s="7"/>
      <c r="B85" t="s">
        <v>27</v>
      </c>
      <c r="C85" s="15"/>
      <c r="D85" s="19"/>
      <c r="E85" s="8"/>
      <c r="F85" s="17">
        <v>4.04</v>
      </c>
      <c r="G85" s="9">
        <v>0.311</v>
      </c>
      <c r="H85" s="9">
        <v>0.59</v>
      </c>
      <c r="I85" s="9" t="s">
        <v>182</v>
      </c>
      <c r="J85" s="15"/>
      <c r="K85" s="19"/>
      <c r="L85" s="8"/>
      <c r="M85" s="15">
        <v>14.29</v>
      </c>
      <c r="N85" s="19">
        <v>1.1020000000000001</v>
      </c>
      <c r="O85" s="9">
        <v>0.02</v>
      </c>
      <c r="P85" s="18" t="s">
        <v>103</v>
      </c>
      <c r="Q85" s="15"/>
      <c r="R85" s="19"/>
      <c r="S85" s="8"/>
      <c r="T85" s="17">
        <v>2.48</v>
      </c>
      <c r="U85" s="37">
        <v>0.191</v>
      </c>
      <c r="V85" s="37">
        <v>0.05</v>
      </c>
      <c r="W85" s="18" t="s">
        <v>257</v>
      </c>
    </row>
    <row r="86" spans="1:23" x14ac:dyDescent="0.25">
      <c r="A86" s="7"/>
      <c r="B86" t="s">
        <v>27</v>
      </c>
      <c r="C86" s="15"/>
      <c r="D86" s="19"/>
      <c r="E86" s="8"/>
      <c r="F86" s="17">
        <v>4.28</v>
      </c>
      <c r="G86" s="9">
        <v>0.33</v>
      </c>
      <c r="H86" s="9">
        <v>0.42</v>
      </c>
      <c r="I86" s="9" t="s">
        <v>181</v>
      </c>
      <c r="J86" s="15"/>
      <c r="K86" s="19"/>
      <c r="L86" s="8"/>
      <c r="M86" s="15">
        <v>11.66</v>
      </c>
      <c r="N86" s="19">
        <v>0.89899998999999997</v>
      </c>
      <c r="O86" s="9">
        <v>0.02</v>
      </c>
      <c r="P86" s="18" t="s">
        <v>102</v>
      </c>
      <c r="Q86" s="15"/>
      <c r="R86" s="19"/>
      <c r="S86" s="8"/>
      <c r="T86" s="17">
        <v>3.4000001000000002</v>
      </c>
      <c r="U86" s="37">
        <v>0.26199999000000002</v>
      </c>
      <c r="V86" s="37">
        <v>0.05</v>
      </c>
      <c r="W86" s="18" t="s">
        <v>256</v>
      </c>
    </row>
    <row r="87" spans="1:23" x14ac:dyDescent="0.25">
      <c r="A87" s="7"/>
      <c r="B87" t="s">
        <v>27</v>
      </c>
      <c r="C87" s="15"/>
      <c r="D87" s="19"/>
      <c r="E87" s="8"/>
      <c r="F87" s="17">
        <v>4.04</v>
      </c>
      <c r="G87" s="9">
        <v>0.311</v>
      </c>
      <c r="H87" s="9">
        <v>0.4</v>
      </c>
      <c r="I87" s="9" t="s">
        <v>182</v>
      </c>
      <c r="J87" s="15"/>
      <c r="K87" s="19"/>
      <c r="L87" s="8"/>
      <c r="M87" s="15">
        <v>14.29</v>
      </c>
      <c r="N87" s="19">
        <v>1.1020000000000001</v>
      </c>
      <c r="O87" s="9">
        <v>0.02</v>
      </c>
      <c r="P87" s="18" t="s">
        <v>103</v>
      </c>
      <c r="Q87" s="15"/>
      <c r="R87" s="19"/>
      <c r="S87" s="8"/>
      <c r="T87" s="17">
        <v>2.48</v>
      </c>
      <c r="U87" s="37">
        <v>0.191</v>
      </c>
      <c r="V87" s="37">
        <v>0.05</v>
      </c>
      <c r="W87" s="18" t="s">
        <v>257</v>
      </c>
    </row>
    <row r="88" spans="1:23" ht="15.75" thickBot="1" x14ac:dyDescent="0.3">
      <c r="A88" s="10"/>
      <c r="B88" s="11" t="s">
        <v>27</v>
      </c>
      <c r="C88" s="16"/>
      <c r="D88" s="12"/>
      <c r="E88" s="13"/>
      <c r="F88" s="28">
        <v>4.28</v>
      </c>
      <c r="G88" s="14">
        <v>0.33</v>
      </c>
      <c r="H88" s="14">
        <v>0.41</v>
      </c>
      <c r="I88" s="14" t="s">
        <v>181</v>
      </c>
      <c r="J88" s="16"/>
      <c r="K88" s="12"/>
      <c r="L88" s="13"/>
      <c r="M88" s="16">
        <v>11.66</v>
      </c>
      <c r="N88" s="12">
        <v>0.89899998999999997</v>
      </c>
      <c r="O88" s="14">
        <v>0.02</v>
      </c>
      <c r="P88" s="21" t="s">
        <v>102</v>
      </c>
      <c r="Q88" s="16"/>
      <c r="R88" s="12"/>
      <c r="S88" s="13"/>
      <c r="T88" s="28">
        <v>3.4000001000000002</v>
      </c>
      <c r="U88" s="14">
        <v>0.26199999000000002</v>
      </c>
      <c r="V88" s="14">
        <v>0.06</v>
      </c>
      <c r="W88" s="21" t="s">
        <v>256</v>
      </c>
    </row>
    <row r="89" spans="1:23" x14ac:dyDescent="0.25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21" x14ac:dyDescent="0.35">
      <c r="B90" s="32" t="s">
        <v>28</v>
      </c>
      <c r="C90" s="33">
        <f>AVERAGE(C3:C88)</f>
        <v>9.2046439909297053</v>
      </c>
      <c r="D90" s="33">
        <f t="shared" ref="D90:E90" si="0">AVERAGE(D3:D88)</f>
        <v>0.55470215419501123</v>
      </c>
      <c r="E90" s="33">
        <f t="shared" si="0"/>
        <v>0.49020181405895696</v>
      </c>
      <c r="F90" s="9"/>
      <c r="G90" s="9"/>
      <c r="H90" s="9"/>
      <c r="I90" s="9"/>
      <c r="J90" s="33">
        <f>AVERAGE(J3:J88)</f>
        <v>10.708435314160997</v>
      </c>
      <c r="K90" s="33">
        <f t="shared" ref="K90:L90" si="1">AVERAGE(K3:K88)</f>
        <v>0.68250464939002264</v>
      </c>
      <c r="L90" s="33">
        <f t="shared" si="1"/>
        <v>1.9333333333333338E-2</v>
      </c>
      <c r="M90" s="9"/>
      <c r="N90" s="9"/>
      <c r="O90" s="9"/>
      <c r="P90" s="9"/>
      <c r="Q90" s="33">
        <f>AVERAGE(Q3:Q88)</f>
        <v>5.885048757380952</v>
      </c>
      <c r="R90" s="33">
        <f t="shared" ref="R90:S90" si="2">AVERAGE(R3:R88)</f>
        <v>0.36101462500907033</v>
      </c>
      <c r="S90" s="33">
        <f t="shared" si="2"/>
        <v>4.6718820861678022E-2</v>
      </c>
      <c r="T90" s="9"/>
      <c r="U90" s="9"/>
      <c r="V90" s="9"/>
      <c r="W90" s="9"/>
    </row>
  </sheetData>
  <mergeCells count="3">
    <mergeCell ref="J1:P1"/>
    <mergeCell ref="C1:I1"/>
    <mergeCell ref="Q1:W1"/>
  </mergeCells>
  <conditionalFormatting sqref="G89:G90">
    <cfRule type="cellIs" dxfId="8" priority="5" operator="greaterThan">
      <formula>10</formula>
    </cfRule>
  </conditionalFormatting>
  <conditionalFormatting sqref="G89:H90">
    <cfRule type="duplicateValues" dxfId="7" priority="6"/>
  </conditionalFormatting>
  <conditionalFormatting sqref="H89:H90">
    <cfRule type="cellIs" dxfId="6" priority="4" operator="greaterThan">
      <formula>0.1</formula>
    </cfRule>
  </conditionalFormatting>
  <conditionalFormatting sqref="N89:N90">
    <cfRule type="cellIs" dxfId="5" priority="8" operator="greaterThan">
      <formula>10</formula>
    </cfRule>
  </conditionalFormatting>
  <conditionalFormatting sqref="N89:O90">
    <cfRule type="duplicateValues" dxfId="4" priority="9"/>
  </conditionalFormatting>
  <conditionalFormatting sqref="O89:O90">
    <cfRule type="cellIs" dxfId="3" priority="7" operator="greaterThan">
      <formula>0.1</formula>
    </cfRule>
  </conditionalFormatting>
  <conditionalFormatting sqref="U89:U90">
    <cfRule type="cellIs" dxfId="2" priority="2" operator="greaterThan">
      <formula>10</formula>
    </cfRule>
  </conditionalFormatting>
  <conditionalFormatting sqref="U89:V90">
    <cfRule type="duplicateValues" dxfId="1" priority="3"/>
  </conditionalFormatting>
  <conditionalFormatting sqref="V89:V90">
    <cfRule type="cellIs" dxfId="0" priority="1" operator="greaterThan"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</dc:creator>
  <cp:lastModifiedBy>Chan Jun Qiang</cp:lastModifiedBy>
  <dcterms:created xsi:type="dcterms:W3CDTF">2015-06-05T18:17:20Z</dcterms:created>
  <dcterms:modified xsi:type="dcterms:W3CDTF">2025-08-26T10:19:29Z</dcterms:modified>
</cp:coreProperties>
</file>